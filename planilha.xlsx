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\Downloads\"/>
    </mc:Choice>
  </mc:AlternateContent>
  <xr:revisionPtr revIDLastSave="0" documentId="13_ncr:1_{0C9208F6-6194-4560-9235-B9727DA92193}" xr6:coauthVersionLast="47" xr6:coauthVersionMax="47" xr10:uidLastSave="{00000000-0000-0000-0000-000000000000}"/>
  <bookViews>
    <workbookView xWindow="-120" yWindow="-120" windowWidth="20730" windowHeight="11760" xr2:uid="{B2810DB4-7512-4CE3-80EC-38F724CB9506}"/>
  </bookViews>
  <sheets>
    <sheet name="ABRIL (2)" sheetId="7" r:id="rId1"/>
  </sheets>
  <definedNames>
    <definedName name="_xlnm._FilterDatabase" localSheetId="0" hidden="1">'ABRIL (2)'!$B$7:$M$363</definedName>
    <definedName name="_xlnm.Print_Area" localSheetId="0">'ABRIL (2)'!$B$1:$M$363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1" i="7" l="1"/>
  <c r="K121" i="7"/>
  <c r="I121" i="7"/>
  <c r="M121" i="7" s="1"/>
  <c r="H121" i="7"/>
  <c r="L120" i="7"/>
  <c r="K120" i="7"/>
  <c r="I120" i="7"/>
  <c r="M120" i="7" s="1"/>
  <c r="H120" i="7"/>
  <c r="I187" i="7"/>
  <c r="M187" i="7" s="1"/>
  <c r="L216" i="7"/>
  <c r="L127" i="7"/>
  <c r="L222" i="7"/>
  <c r="L215" i="7"/>
  <c r="H211" i="7"/>
  <c r="L220" i="7"/>
  <c r="L80" i="7"/>
  <c r="L10" i="7"/>
  <c r="H24" i="7"/>
  <c r="L24" i="7"/>
  <c r="L221" i="7"/>
  <c r="H221" i="7"/>
  <c r="I221" i="7"/>
  <c r="M221" i="7" s="1"/>
  <c r="K221" i="7"/>
  <c r="L193" i="7"/>
  <c r="H193" i="7"/>
  <c r="I193" i="7"/>
  <c r="M193" i="7" s="1"/>
  <c r="K193" i="7"/>
  <c r="H191" i="7"/>
  <c r="L187" i="7"/>
  <c r="H174" i="7"/>
  <c r="L174" i="7"/>
  <c r="L173" i="7"/>
  <c r="H173" i="7"/>
  <c r="H172" i="7"/>
  <c r="L161" i="7"/>
  <c r="H161" i="7"/>
  <c r="H160" i="7"/>
  <c r="L159" i="7"/>
  <c r="L128" i="7"/>
  <c r="I363" i="7"/>
  <c r="M363" i="7" s="1"/>
  <c r="I362" i="7"/>
  <c r="M362" i="7" s="1"/>
  <c r="I361" i="7"/>
  <c r="M361" i="7" s="1"/>
  <c r="I358" i="7"/>
  <c r="M358" i="7" s="1"/>
  <c r="I357" i="7"/>
  <c r="M357" i="7" s="1"/>
  <c r="I356" i="7"/>
  <c r="M356" i="7" s="1"/>
  <c r="I355" i="7"/>
  <c r="M355" i="7" s="1"/>
  <c r="I354" i="7"/>
  <c r="M354" i="7" s="1"/>
  <c r="I353" i="7"/>
  <c r="M353" i="7" s="1"/>
  <c r="I352" i="7"/>
  <c r="M352" i="7" s="1"/>
  <c r="I351" i="7"/>
  <c r="M351" i="7" s="1"/>
  <c r="I350" i="7"/>
  <c r="M350" i="7" s="1"/>
  <c r="I347" i="7"/>
  <c r="M347" i="7" s="1"/>
  <c r="I346" i="7"/>
  <c r="M346" i="7" s="1"/>
  <c r="I345" i="7"/>
  <c r="M345" i="7" s="1"/>
  <c r="I344" i="7"/>
  <c r="M344" i="7" s="1"/>
  <c r="I343" i="7"/>
  <c r="M343" i="7" s="1"/>
  <c r="I342" i="7"/>
  <c r="M342" i="7" s="1"/>
  <c r="I341" i="7"/>
  <c r="M341" i="7" s="1"/>
  <c r="I340" i="7"/>
  <c r="M340" i="7" s="1"/>
  <c r="I337" i="7"/>
  <c r="M337" i="7" s="1"/>
  <c r="I336" i="7"/>
  <c r="M336" i="7" s="1"/>
  <c r="I335" i="7"/>
  <c r="M335" i="7" s="1"/>
  <c r="I334" i="7"/>
  <c r="M334" i="7" s="1"/>
  <c r="I333" i="7"/>
  <c r="M333" i="7" s="1"/>
  <c r="I332" i="7"/>
  <c r="M332" i="7" s="1"/>
  <c r="I331" i="7"/>
  <c r="M331" i="7" s="1"/>
  <c r="I327" i="7"/>
  <c r="M327" i="7" s="1"/>
  <c r="I326" i="7"/>
  <c r="M326" i="7" s="1"/>
  <c r="I325" i="7"/>
  <c r="M325" i="7" s="1"/>
  <c r="I324" i="7"/>
  <c r="M324" i="7" s="1"/>
  <c r="I323" i="7"/>
  <c r="M323" i="7" s="1"/>
  <c r="I322" i="7"/>
  <c r="M322" i="7" s="1"/>
  <c r="I321" i="7"/>
  <c r="M321" i="7" s="1"/>
  <c r="I320" i="7"/>
  <c r="M320" i="7" s="1"/>
  <c r="I319" i="7"/>
  <c r="M319" i="7" s="1"/>
  <c r="I318" i="7"/>
  <c r="M318" i="7" s="1"/>
  <c r="I317" i="7"/>
  <c r="M317" i="7" s="1"/>
  <c r="I316" i="7"/>
  <c r="M316" i="7" s="1"/>
  <c r="I313" i="7"/>
  <c r="M313" i="7" s="1"/>
  <c r="I312" i="7"/>
  <c r="M312" i="7" s="1"/>
  <c r="I311" i="7"/>
  <c r="M311" i="7" s="1"/>
  <c r="I310" i="7"/>
  <c r="M310" i="7" s="1"/>
  <c r="I309" i="7"/>
  <c r="M309" i="7" s="1"/>
  <c r="I308" i="7"/>
  <c r="M308" i="7" s="1"/>
  <c r="I307" i="7"/>
  <c r="M307" i="7" s="1"/>
  <c r="I306" i="7"/>
  <c r="M306" i="7" s="1"/>
  <c r="I305" i="7"/>
  <c r="M305" i="7" s="1"/>
  <c r="I304" i="7"/>
  <c r="M304" i="7" s="1"/>
  <c r="I303" i="7"/>
  <c r="M303" i="7" s="1"/>
  <c r="I302" i="7"/>
  <c r="M302" i="7" s="1"/>
  <c r="I301" i="7"/>
  <c r="M301" i="7" s="1"/>
  <c r="I300" i="7"/>
  <c r="M300" i="7" s="1"/>
  <c r="I299" i="7"/>
  <c r="M299" i="7" s="1"/>
  <c r="I296" i="7"/>
  <c r="M296" i="7" s="1"/>
  <c r="I295" i="7"/>
  <c r="M295" i="7" s="1"/>
  <c r="I294" i="7"/>
  <c r="M294" i="7" s="1"/>
  <c r="I293" i="7"/>
  <c r="M293" i="7" s="1"/>
  <c r="I292" i="7"/>
  <c r="M292" i="7" s="1"/>
  <c r="I291" i="7"/>
  <c r="M291" i="7" s="1"/>
  <c r="I290" i="7"/>
  <c r="M290" i="7" s="1"/>
  <c r="I289" i="7"/>
  <c r="M289" i="7" s="1"/>
  <c r="I286" i="7"/>
  <c r="M286" i="7" s="1"/>
  <c r="I285" i="7"/>
  <c r="M285" i="7" s="1"/>
  <c r="I284" i="7"/>
  <c r="M284" i="7" s="1"/>
  <c r="I283" i="7"/>
  <c r="M283" i="7" s="1"/>
  <c r="I282" i="7"/>
  <c r="M282" i="7" s="1"/>
  <c r="I281" i="7"/>
  <c r="M281" i="7" s="1"/>
  <c r="I278" i="7"/>
  <c r="M278" i="7" s="1"/>
  <c r="I277" i="7"/>
  <c r="M277" i="7" s="1"/>
  <c r="I276" i="7"/>
  <c r="M276" i="7" s="1"/>
  <c r="I275" i="7"/>
  <c r="M275" i="7" s="1"/>
  <c r="I274" i="7"/>
  <c r="M274" i="7" s="1"/>
  <c r="I273" i="7"/>
  <c r="M273" i="7" s="1"/>
  <c r="I272" i="7"/>
  <c r="M272" i="7" s="1"/>
  <c r="I271" i="7"/>
  <c r="M271" i="7" s="1"/>
  <c r="I270" i="7"/>
  <c r="M270" i="7" s="1"/>
  <c r="I269" i="7"/>
  <c r="M269" i="7" s="1"/>
  <c r="I268" i="7"/>
  <c r="M268" i="7" s="1"/>
  <c r="I267" i="7"/>
  <c r="M267" i="7" s="1"/>
  <c r="I266" i="7"/>
  <c r="M266" i="7" s="1"/>
  <c r="I265" i="7"/>
  <c r="M265" i="7" s="1"/>
  <c r="I264" i="7"/>
  <c r="M264" i="7" s="1"/>
  <c r="I263" i="7"/>
  <c r="M263" i="7" s="1"/>
  <c r="I262" i="7"/>
  <c r="M262" i="7" s="1"/>
  <c r="I261" i="7"/>
  <c r="M261" i="7" s="1"/>
  <c r="I260" i="7"/>
  <c r="M260" i="7" s="1"/>
  <c r="I259" i="7"/>
  <c r="M259" i="7" s="1"/>
  <c r="I258" i="7"/>
  <c r="M258" i="7" s="1"/>
  <c r="I257" i="7"/>
  <c r="M257" i="7" s="1"/>
  <c r="I256" i="7"/>
  <c r="M256" i="7" s="1"/>
  <c r="I255" i="7"/>
  <c r="M255" i="7" s="1"/>
  <c r="I254" i="7"/>
  <c r="M254" i="7" s="1"/>
  <c r="I253" i="7"/>
  <c r="M253" i="7" s="1"/>
  <c r="I252" i="7"/>
  <c r="M252" i="7" s="1"/>
  <c r="I249" i="7"/>
  <c r="M249" i="7" s="1"/>
  <c r="I248" i="7"/>
  <c r="M248" i="7" s="1"/>
  <c r="I247" i="7"/>
  <c r="M247" i="7" s="1"/>
  <c r="I246" i="7"/>
  <c r="M246" i="7" s="1"/>
  <c r="I245" i="7"/>
  <c r="M245" i="7" s="1"/>
  <c r="I244" i="7"/>
  <c r="M244" i="7" s="1"/>
  <c r="I243" i="7"/>
  <c r="M243" i="7" s="1"/>
  <c r="I242" i="7"/>
  <c r="M242" i="7" s="1"/>
  <c r="I238" i="7"/>
  <c r="M238" i="7" s="1"/>
  <c r="I237" i="7"/>
  <c r="M237" i="7" s="1"/>
  <c r="I236" i="7"/>
  <c r="M236" i="7" s="1"/>
  <c r="I235" i="7"/>
  <c r="M235" i="7" s="1"/>
  <c r="I234" i="7"/>
  <c r="M234" i="7" s="1"/>
  <c r="I233" i="7"/>
  <c r="M233" i="7" s="1"/>
  <c r="I232" i="7"/>
  <c r="M232" i="7" s="1"/>
  <c r="I231" i="7"/>
  <c r="M231" i="7" s="1"/>
  <c r="I230" i="7"/>
  <c r="M230" i="7" s="1"/>
  <c r="I229" i="7"/>
  <c r="M229" i="7" s="1"/>
  <c r="I228" i="7"/>
  <c r="M228" i="7" s="1"/>
  <c r="I227" i="7"/>
  <c r="M227" i="7" s="1"/>
  <c r="I226" i="7"/>
  <c r="M226" i="7" s="1"/>
  <c r="I220" i="7"/>
  <c r="M220" i="7" s="1"/>
  <c r="I219" i="7"/>
  <c r="M219" i="7" s="1"/>
  <c r="I218" i="7"/>
  <c r="M218" i="7" s="1"/>
  <c r="I217" i="7"/>
  <c r="M217" i="7" s="1"/>
  <c r="I216" i="7"/>
  <c r="M216" i="7" s="1"/>
  <c r="I215" i="7"/>
  <c r="M215" i="7" s="1"/>
  <c r="I214" i="7"/>
  <c r="M214" i="7" s="1"/>
  <c r="I213" i="7"/>
  <c r="M213" i="7" s="1"/>
  <c r="I212" i="7"/>
  <c r="M212" i="7" s="1"/>
  <c r="I211" i="7"/>
  <c r="M211" i="7" s="1"/>
  <c r="I210" i="7"/>
  <c r="M210" i="7" s="1"/>
  <c r="I209" i="7"/>
  <c r="M209" i="7" s="1"/>
  <c r="I206" i="7"/>
  <c r="M206" i="7" s="1"/>
  <c r="I205" i="7"/>
  <c r="M205" i="7" s="1"/>
  <c r="I204" i="7"/>
  <c r="M204" i="7" s="1"/>
  <c r="I203" i="7"/>
  <c r="M203" i="7" s="1"/>
  <c r="I202" i="7"/>
  <c r="M202" i="7" s="1"/>
  <c r="I201" i="7"/>
  <c r="M201" i="7" s="1"/>
  <c r="I200" i="7"/>
  <c r="M200" i="7" s="1"/>
  <c r="I197" i="7"/>
  <c r="M197" i="7" s="1"/>
  <c r="I196" i="7"/>
  <c r="M196" i="7" s="1"/>
  <c r="I195" i="7"/>
  <c r="M195" i="7" s="1"/>
  <c r="I194" i="7"/>
  <c r="M194" i="7" s="1"/>
  <c r="I223" i="7"/>
  <c r="M223" i="7" s="1"/>
  <c r="I222" i="7"/>
  <c r="M222" i="7" s="1"/>
  <c r="I192" i="7"/>
  <c r="M192" i="7" s="1"/>
  <c r="I191" i="7"/>
  <c r="M191" i="7" s="1"/>
  <c r="I190" i="7"/>
  <c r="M190" i="7" s="1"/>
  <c r="I189" i="7"/>
  <c r="M189" i="7" s="1"/>
  <c r="I188" i="7"/>
  <c r="M188" i="7" s="1"/>
  <c r="I186" i="7"/>
  <c r="M186" i="7" s="1"/>
  <c r="I185" i="7"/>
  <c r="M185" i="7" s="1"/>
  <c r="I184" i="7"/>
  <c r="M184" i="7" s="1"/>
  <c r="I183" i="7"/>
  <c r="M183" i="7" s="1"/>
  <c r="I182" i="7"/>
  <c r="M182" i="7" s="1"/>
  <c r="I181" i="7"/>
  <c r="M181" i="7" s="1"/>
  <c r="I178" i="7"/>
  <c r="M178" i="7" s="1"/>
  <c r="I177" i="7"/>
  <c r="M177" i="7" s="1"/>
  <c r="I176" i="7"/>
  <c r="M176" i="7" s="1"/>
  <c r="I175" i="7"/>
  <c r="M175" i="7" s="1"/>
  <c r="I174" i="7"/>
  <c r="M174" i="7" s="1"/>
  <c r="I173" i="7"/>
  <c r="M173" i="7" s="1"/>
  <c r="I172" i="7"/>
  <c r="M172" i="7" s="1"/>
  <c r="I171" i="7"/>
  <c r="M171" i="7" s="1"/>
  <c r="I170" i="7"/>
  <c r="M170" i="7" s="1"/>
  <c r="I169" i="7"/>
  <c r="M169" i="7" s="1"/>
  <c r="I168" i="7"/>
  <c r="M168" i="7" s="1"/>
  <c r="I167" i="7"/>
  <c r="M167" i="7" s="1"/>
  <c r="I165" i="7"/>
  <c r="M165" i="7" s="1"/>
  <c r="I164" i="7"/>
  <c r="M164" i="7" s="1"/>
  <c r="I163" i="7"/>
  <c r="M163" i="7" s="1"/>
  <c r="I162" i="7"/>
  <c r="M162" i="7" s="1"/>
  <c r="I161" i="7"/>
  <c r="M161" i="7" s="1"/>
  <c r="I160" i="7"/>
  <c r="M160" i="7" s="1"/>
  <c r="I159" i="7"/>
  <c r="M159" i="7" s="1"/>
  <c r="I158" i="7"/>
  <c r="M158" i="7" s="1"/>
  <c r="I157" i="7"/>
  <c r="M157" i="7" s="1"/>
  <c r="I156" i="7"/>
  <c r="M156" i="7" s="1"/>
  <c r="I155" i="7"/>
  <c r="M155" i="7" s="1"/>
  <c r="I154" i="7"/>
  <c r="M154" i="7" s="1"/>
  <c r="I152" i="7"/>
  <c r="M152" i="7" s="1"/>
  <c r="I151" i="7"/>
  <c r="M151" i="7" s="1"/>
  <c r="I150" i="7"/>
  <c r="M150" i="7" s="1"/>
  <c r="I149" i="7"/>
  <c r="M149" i="7" s="1"/>
  <c r="I148" i="7"/>
  <c r="M148" i="7" s="1"/>
  <c r="I147" i="7"/>
  <c r="M147" i="7" s="1"/>
  <c r="I146" i="7"/>
  <c r="M146" i="7" s="1"/>
  <c r="I145" i="7"/>
  <c r="M145" i="7" s="1"/>
  <c r="I144" i="7"/>
  <c r="M144" i="7" s="1"/>
  <c r="I143" i="7"/>
  <c r="M143" i="7" s="1"/>
  <c r="I142" i="7"/>
  <c r="M142" i="7" s="1"/>
  <c r="I141" i="7"/>
  <c r="M141" i="7" s="1"/>
  <c r="I137" i="7"/>
  <c r="M137" i="7" s="1"/>
  <c r="I136" i="7"/>
  <c r="M136" i="7" s="1"/>
  <c r="I135" i="7"/>
  <c r="M135" i="7" s="1"/>
  <c r="I134" i="7"/>
  <c r="M134" i="7" s="1"/>
  <c r="I133" i="7"/>
  <c r="M133" i="7" s="1"/>
  <c r="I132" i="7"/>
  <c r="M132" i="7" s="1"/>
  <c r="I131" i="7"/>
  <c r="M131" i="7" s="1"/>
  <c r="I130" i="7"/>
  <c r="M130" i="7" s="1"/>
  <c r="I129" i="7"/>
  <c r="M129" i="7" s="1"/>
  <c r="I128" i="7"/>
  <c r="M128" i="7" s="1"/>
  <c r="I127" i="7"/>
  <c r="M127" i="7" s="1"/>
  <c r="I126" i="7"/>
  <c r="M126" i="7" s="1"/>
  <c r="I125" i="7"/>
  <c r="M125" i="7" s="1"/>
  <c r="I124" i="7"/>
  <c r="M124" i="7" s="1"/>
  <c r="I123" i="7"/>
  <c r="M123" i="7" s="1"/>
  <c r="I122" i="7"/>
  <c r="M122" i="7" s="1"/>
  <c r="I119" i="7"/>
  <c r="M119" i="7" s="1"/>
  <c r="I118" i="7"/>
  <c r="M118" i="7" s="1"/>
  <c r="I115" i="7"/>
  <c r="M115" i="7" s="1"/>
  <c r="I114" i="7"/>
  <c r="M114" i="7" s="1"/>
  <c r="I113" i="7"/>
  <c r="M113" i="7" s="1"/>
  <c r="I112" i="7"/>
  <c r="M112" i="7" s="1"/>
  <c r="I111" i="7"/>
  <c r="M111" i="7" s="1"/>
  <c r="I110" i="7"/>
  <c r="M110" i="7" s="1"/>
  <c r="I109" i="7"/>
  <c r="M109" i="7" s="1"/>
  <c r="I105" i="7"/>
  <c r="M105" i="7" s="1"/>
  <c r="I104" i="7"/>
  <c r="M104" i="7" s="1"/>
  <c r="I101" i="7"/>
  <c r="M101" i="7" s="1"/>
  <c r="I100" i="7"/>
  <c r="M100" i="7" s="1"/>
  <c r="I99" i="7"/>
  <c r="M99" i="7" s="1"/>
  <c r="I98" i="7"/>
  <c r="M98" i="7" s="1"/>
  <c r="I97" i="7"/>
  <c r="M97" i="7" s="1"/>
  <c r="I96" i="7"/>
  <c r="M96" i="7" s="1"/>
  <c r="I95" i="7"/>
  <c r="M95" i="7" s="1"/>
  <c r="I94" i="7"/>
  <c r="M94" i="7" s="1"/>
  <c r="I93" i="7"/>
  <c r="M93" i="7" s="1"/>
  <c r="I92" i="7"/>
  <c r="M92" i="7" s="1"/>
  <c r="I89" i="7"/>
  <c r="M89" i="7" s="1"/>
  <c r="I88" i="7"/>
  <c r="M88" i="7" s="1"/>
  <c r="I87" i="7"/>
  <c r="M87" i="7" s="1"/>
  <c r="I86" i="7"/>
  <c r="M86" i="7" s="1"/>
  <c r="I83" i="7"/>
  <c r="M83" i="7" s="1"/>
  <c r="I82" i="7"/>
  <c r="M82" i="7" s="1"/>
  <c r="I81" i="7"/>
  <c r="M81" i="7" s="1"/>
  <c r="I80" i="7"/>
  <c r="M80" i="7" s="1"/>
  <c r="I77" i="7"/>
  <c r="M77" i="7" s="1"/>
  <c r="I76" i="7"/>
  <c r="M76" i="7" s="1"/>
  <c r="I75" i="7"/>
  <c r="M75" i="7" s="1"/>
  <c r="I74" i="7"/>
  <c r="M74" i="7" s="1"/>
  <c r="I73" i="7"/>
  <c r="M73" i="7" s="1"/>
  <c r="I72" i="7"/>
  <c r="M72" i="7" s="1"/>
  <c r="I71" i="7"/>
  <c r="M71" i="7" s="1"/>
  <c r="I70" i="7"/>
  <c r="M70" i="7" s="1"/>
  <c r="I69" i="7"/>
  <c r="M69" i="7" s="1"/>
  <c r="I68" i="7"/>
  <c r="M68" i="7" s="1"/>
  <c r="I67" i="7"/>
  <c r="M67" i="7" s="1"/>
  <c r="I66" i="7"/>
  <c r="M66" i="7" s="1"/>
  <c r="I65" i="7"/>
  <c r="M65" i="7" s="1"/>
  <c r="I64" i="7"/>
  <c r="M64" i="7" s="1"/>
  <c r="I61" i="7"/>
  <c r="M61" i="7" s="1"/>
  <c r="I60" i="7"/>
  <c r="M60" i="7" s="1"/>
  <c r="I59" i="7"/>
  <c r="M59" i="7" s="1"/>
  <c r="I58" i="7"/>
  <c r="M58" i="7" s="1"/>
  <c r="I57" i="7"/>
  <c r="M57" i="7" s="1"/>
  <c r="I56" i="7"/>
  <c r="M56" i="7" s="1"/>
  <c r="I55" i="7"/>
  <c r="M55" i="7" s="1"/>
  <c r="I54" i="7"/>
  <c r="M54" i="7" s="1"/>
  <c r="I53" i="7"/>
  <c r="M53" i="7" s="1"/>
  <c r="I52" i="7"/>
  <c r="M52" i="7" s="1"/>
  <c r="I51" i="7"/>
  <c r="M51" i="7" s="1"/>
  <c r="I50" i="7"/>
  <c r="M50" i="7" s="1"/>
  <c r="I49" i="7"/>
  <c r="M49" i="7" s="1"/>
  <c r="I48" i="7"/>
  <c r="M48" i="7" s="1"/>
  <c r="I47" i="7"/>
  <c r="M47" i="7" s="1"/>
  <c r="I46" i="7"/>
  <c r="M46" i="7" s="1"/>
  <c r="I45" i="7"/>
  <c r="M45" i="7" s="1"/>
  <c r="I44" i="7"/>
  <c r="M44" i="7" s="1"/>
  <c r="I43" i="7"/>
  <c r="M43" i="7" s="1"/>
  <c r="I42" i="7"/>
  <c r="M42" i="7" s="1"/>
  <c r="I41" i="7"/>
  <c r="M41" i="7" s="1"/>
  <c r="I40" i="7"/>
  <c r="M40" i="7" s="1"/>
  <c r="I37" i="7"/>
  <c r="M37" i="7" s="1"/>
  <c r="I36" i="7"/>
  <c r="M36" i="7" s="1"/>
  <c r="I35" i="7"/>
  <c r="M35" i="7" s="1"/>
  <c r="I34" i="7"/>
  <c r="M34" i="7" s="1"/>
  <c r="I33" i="7"/>
  <c r="M33" i="7" s="1"/>
  <c r="I32" i="7"/>
  <c r="M32" i="7" s="1"/>
  <c r="I29" i="7"/>
  <c r="M29" i="7" s="1"/>
  <c r="I28" i="7"/>
  <c r="M28" i="7" s="1"/>
  <c r="I27" i="7"/>
  <c r="M27" i="7" s="1"/>
  <c r="I26" i="7"/>
  <c r="M26" i="7" s="1"/>
  <c r="I25" i="7"/>
  <c r="M25" i="7" s="1"/>
  <c r="I24" i="7"/>
  <c r="M24" i="7" s="1"/>
  <c r="I21" i="7"/>
  <c r="M21" i="7" s="1"/>
  <c r="I20" i="7"/>
  <c r="M20" i="7" s="1"/>
  <c r="I19" i="7"/>
  <c r="M19" i="7" s="1"/>
  <c r="I18" i="7"/>
  <c r="M18" i="7" s="1"/>
  <c r="I17" i="7"/>
  <c r="M17" i="7" s="1"/>
  <c r="I16" i="7"/>
  <c r="M16" i="7" s="1"/>
  <c r="I13" i="7"/>
  <c r="M13" i="7" s="1"/>
  <c r="I12" i="7"/>
  <c r="M12" i="7" s="1"/>
  <c r="I11" i="7"/>
  <c r="M11" i="7" s="1"/>
  <c r="I10" i="7"/>
  <c r="M10" i="7" s="1"/>
  <c r="I9" i="7"/>
  <c r="M9" i="7" s="1"/>
  <c r="L8" i="7"/>
  <c r="K8" i="7"/>
  <c r="I8" i="7"/>
  <c r="M8" i="7" s="1"/>
  <c r="L363" i="7"/>
  <c r="K363" i="7"/>
  <c r="H363" i="7"/>
  <c r="L362" i="7"/>
  <c r="K362" i="7"/>
  <c r="H362" i="7"/>
  <c r="L361" i="7"/>
  <c r="K361" i="7"/>
  <c r="H361" i="7"/>
  <c r="L358" i="7"/>
  <c r="K358" i="7"/>
  <c r="H358" i="7"/>
  <c r="L357" i="7"/>
  <c r="K357" i="7"/>
  <c r="H357" i="7"/>
  <c r="L356" i="7"/>
  <c r="K356" i="7"/>
  <c r="H356" i="7"/>
  <c r="L355" i="7"/>
  <c r="K355" i="7"/>
  <c r="H355" i="7"/>
  <c r="L354" i="7"/>
  <c r="K354" i="7"/>
  <c r="H354" i="7"/>
  <c r="L353" i="7"/>
  <c r="K353" i="7"/>
  <c r="H353" i="7"/>
  <c r="L352" i="7"/>
  <c r="K352" i="7"/>
  <c r="H352" i="7"/>
  <c r="L351" i="7"/>
  <c r="K351" i="7"/>
  <c r="H351" i="7"/>
  <c r="L350" i="7"/>
  <c r="K350" i="7"/>
  <c r="H350" i="7"/>
  <c r="L347" i="7"/>
  <c r="K347" i="7"/>
  <c r="H347" i="7"/>
  <c r="L346" i="7"/>
  <c r="K346" i="7"/>
  <c r="H346" i="7"/>
  <c r="L345" i="7"/>
  <c r="K345" i="7"/>
  <c r="H345" i="7"/>
  <c r="L344" i="7"/>
  <c r="K344" i="7"/>
  <c r="H344" i="7"/>
  <c r="L343" i="7"/>
  <c r="K343" i="7"/>
  <c r="H343" i="7"/>
  <c r="L342" i="7"/>
  <c r="K342" i="7"/>
  <c r="H342" i="7"/>
  <c r="L341" i="7"/>
  <c r="K341" i="7"/>
  <c r="H341" i="7"/>
  <c r="L340" i="7"/>
  <c r="K340" i="7"/>
  <c r="H340" i="7"/>
  <c r="L337" i="7"/>
  <c r="K337" i="7"/>
  <c r="H337" i="7"/>
  <c r="L336" i="7"/>
  <c r="K336" i="7"/>
  <c r="H336" i="7"/>
  <c r="L335" i="7"/>
  <c r="K335" i="7"/>
  <c r="H335" i="7"/>
  <c r="L334" i="7"/>
  <c r="K334" i="7"/>
  <c r="H334" i="7"/>
  <c r="L333" i="7"/>
  <c r="K333" i="7"/>
  <c r="H333" i="7"/>
  <c r="L332" i="7"/>
  <c r="K332" i="7"/>
  <c r="H332" i="7"/>
  <c r="L331" i="7"/>
  <c r="K331" i="7"/>
  <c r="H331" i="7"/>
  <c r="L327" i="7"/>
  <c r="K327" i="7"/>
  <c r="H327" i="7"/>
  <c r="L326" i="7"/>
  <c r="K326" i="7"/>
  <c r="H326" i="7"/>
  <c r="L325" i="7"/>
  <c r="K325" i="7"/>
  <c r="H325" i="7"/>
  <c r="L324" i="7"/>
  <c r="K324" i="7"/>
  <c r="H324" i="7"/>
  <c r="L323" i="7"/>
  <c r="K323" i="7"/>
  <c r="H323" i="7"/>
  <c r="L322" i="7"/>
  <c r="K322" i="7"/>
  <c r="H322" i="7"/>
  <c r="L321" i="7"/>
  <c r="K321" i="7"/>
  <c r="H321" i="7"/>
  <c r="L320" i="7"/>
  <c r="K320" i="7"/>
  <c r="H320" i="7"/>
  <c r="L319" i="7"/>
  <c r="K319" i="7"/>
  <c r="H319" i="7"/>
  <c r="L318" i="7"/>
  <c r="K318" i="7"/>
  <c r="H318" i="7"/>
  <c r="L317" i="7"/>
  <c r="K317" i="7"/>
  <c r="H317" i="7"/>
  <c r="L316" i="7"/>
  <c r="K316" i="7"/>
  <c r="H316" i="7"/>
  <c r="L313" i="7"/>
  <c r="K313" i="7"/>
  <c r="H313" i="7"/>
  <c r="L312" i="7"/>
  <c r="K312" i="7"/>
  <c r="H312" i="7"/>
  <c r="L311" i="7"/>
  <c r="K311" i="7"/>
  <c r="H311" i="7"/>
  <c r="L310" i="7"/>
  <c r="K310" i="7"/>
  <c r="H310" i="7"/>
  <c r="L309" i="7"/>
  <c r="K309" i="7"/>
  <c r="H309" i="7"/>
  <c r="L308" i="7"/>
  <c r="K308" i="7"/>
  <c r="H308" i="7"/>
  <c r="L307" i="7"/>
  <c r="K307" i="7"/>
  <c r="H307" i="7"/>
  <c r="L306" i="7"/>
  <c r="K306" i="7"/>
  <c r="H306" i="7"/>
  <c r="L305" i="7"/>
  <c r="K305" i="7"/>
  <c r="H305" i="7"/>
  <c r="L304" i="7"/>
  <c r="K304" i="7"/>
  <c r="H304" i="7"/>
  <c r="L303" i="7"/>
  <c r="K303" i="7"/>
  <c r="H303" i="7"/>
  <c r="L302" i="7"/>
  <c r="K302" i="7"/>
  <c r="H302" i="7"/>
  <c r="L301" i="7"/>
  <c r="K301" i="7"/>
  <c r="H301" i="7"/>
  <c r="L300" i="7"/>
  <c r="K300" i="7"/>
  <c r="H300" i="7"/>
  <c r="L299" i="7"/>
  <c r="K299" i="7"/>
  <c r="H299" i="7"/>
  <c r="L296" i="7"/>
  <c r="K296" i="7"/>
  <c r="H296" i="7"/>
  <c r="L295" i="7"/>
  <c r="K295" i="7"/>
  <c r="H295" i="7"/>
  <c r="L294" i="7"/>
  <c r="K294" i="7"/>
  <c r="H294" i="7"/>
  <c r="L293" i="7"/>
  <c r="K293" i="7"/>
  <c r="H293" i="7"/>
  <c r="L292" i="7"/>
  <c r="K292" i="7"/>
  <c r="H292" i="7"/>
  <c r="L291" i="7"/>
  <c r="K291" i="7"/>
  <c r="H291" i="7"/>
  <c r="L290" i="7"/>
  <c r="K290" i="7"/>
  <c r="H290" i="7"/>
  <c r="L289" i="7"/>
  <c r="K289" i="7"/>
  <c r="H289" i="7"/>
  <c r="L286" i="7"/>
  <c r="K286" i="7"/>
  <c r="H286" i="7"/>
  <c r="L285" i="7"/>
  <c r="K285" i="7"/>
  <c r="H285" i="7"/>
  <c r="L284" i="7"/>
  <c r="K284" i="7"/>
  <c r="H284" i="7"/>
  <c r="L283" i="7"/>
  <c r="K283" i="7"/>
  <c r="H283" i="7"/>
  <c r="L282" i="7"/>
  <c r="K282" i="7"/>
  <c r="H282" i="7"/>
  <c r="L281" i="7"/>
  <c r="K281" i="7"/>
  <c r="H281" i="7"/>
  <c r="L278" i="7"/>
  <c r="K278" i="7"/>
  <c r="H278" i="7"/>
  <c r="L277" i="7"/>
  <c r="K277" i="7"/>
  <c r="H277" i="7"/>
  <c r="L276" i="7"/>
  <c r="K276" i="7"/>
  <c r="H276" i="7"/>
  <c r="L275" i="7"/>
  <c r="K275" i="7"/>
  <c r="H275" i="7"/>
  <c r="L274" i="7"/>
  <c r="K274" i="7"/>
  <c r="H274" i="7"/>
  <c r="L273" i="7"/>
  <c r="K273" i="7"/>
  <c r="H273" i="7"/>
  <c r="L272" i="7"/>
  <c r="K272" i="7"/>
  <c r="H272" i="7"/>
  <c r="L271" i="7"/>
  <c r="K271" i="7"/>
  <c r="H271" i="7"/>
  <c r="L270" i="7"/>
  <c r="K270" i="7"/>
  <c r="H270" i="7"/>
  <c r="L269" i="7"/>
  <c r="K269" i="7"/>
  <c r="H269" i="7"/>
  <c r="L268" i="7"/>
  <c r="K268" i="7"/>
  <c r="H268" i="7"/>
  <c r="L267" i="7"/>
  <c r="K267" i="7"/>
  <c r="H267" i="7"/>
  <c r="L266" i="7"/>
  <c r="K266" i="7"/>
  <c r="H266" i="7"/>
  <c r="L265" i="7"/>
  <c r="K265" i="7"/>
  <c r="H265" i="7"/>
  <c r="L264" i="7"/>
  <c r="K264" i="7"/>
  <c r="H264" i="7"/>
  <c r="L263" i="7"/>
  <c r="K263" i="7"/>
  <c r="H263" i="7"/>
  <c r="L262" i="7"/>
  <c r="K262" i="7"/>
  <c r="H262" i="7"/>
  <c r="L261" i="7"/>
  <c r="K261" i="7"/>
  <c r="H261" i="7"/>
  <c r="L260" i="7"/>
  <c r="K260" i="7"/>
  <c r="H260" i="7"/>
  <c r="L259" i="7"/>
  <c r="K259" i="7"/>
  <c r="H259" i="7"/>
  <c r="L258" i="7"/>
  <c r="K258" i="7"/>
  <c r="H258" i="7"/>
  <c r="L257" i="7"/>
  <c r="K257" i="7"/>
  <c r="H257" i="7"/>
  <c r="L256" i="7"/>
  <c r="K256" i="7"/>
  <c r="H256" i="7"/>
  <c r="L255" i="7"/>
  <c r="K255" i="7"/>
  <c r="H255" i="7"/>
  <c r="L254" i="7"/>
  <c r="K254" i="7"/>
  <c r="H254" i="7"/>
  <c r="L253" i="7"/>
  <c r="K253" i="7"/>
  <c r="H253" i="7"/>
  <c r="L252" i="7"/>
  <c r="K252" i="7"/>
  <c r="H252" i="7"/>
  <c r="L249" i="7"/>
  <c r="K249" i="7"/>
  <c r="H249" i="7"/>
  <c r="L248" i="7"/>
  <c r="K248" i="7"/>
  <c r="H248" i="7"/>
  <c r="L247" i="7"/>
  <c r="K247" i="7"/>
  <c r="H247" i="7"/>
  <c r="L246" i="7"/>
  <c r="K246" i="7"/>
  <c r="H246" i="7"/>
  <c r="L245" i="7"/>
  <c r="K245" i="7"/>
  <c r="H245" i="7"/>
  <c r="L244" i="7"/>
  <c r="K244" i="7"/>
  <c r="H244" i="7"/>
  <c r="L243" i="7"/>
  <c r="K243" i="7"/>
  <c r="H243" i="7"/>
  <c r="L242" i="7"/>
  <c r="K242" i="7"/>
  <c r="H242" i="7"/>
  <c r="L238" i="7"/>
  <c r="K238" i="7"/>
  <c r="H238" i="7"/>
  <c r="L237" i="7"/>
  <c r="K237" i="7"/>
  <c r="H237" i="7"/>
  <c r="L236" i="7"/>
  <c r="K236" i="7"/>
  <c r="H236" i="7"/>
  <c r="L235" i="7"/>
  <c r="K235" i="7"/>
  <c r="H235" i="7"/>
  <c r="L234" i="7"/>
  <c r="K234" i="7"/>
  <c r="H234" i="7"/>
  <c r="L233" i="7"/>
  <c r="K233" i="7"/>
  <c r="H233" i="7"/>
  <c r="L232" i="7"/>
  <c r="K232" i="7"/>
  <c r="H232" i="7"/>
  <c r="L231" i="7"/>
  <c r="K231" i="7"/>
  <c r="H231" i="7"/>
  <c r="L230" i="7"/>
  <c r="K230" i="7"/>
  <c r="H230" i="7"/>
  <c r="L229" i="7"/>
  <c r="K229" i="7"/>
  <c r="H229" i="7"/>
  <c r="L228" i="7"/>
  <c r="K228" i="7"/>
  <c r="H228" i="7"/>
  <c r="L227" i="7"/>
  <c r="K227" i="7"/>
  <c r="H227" i="7"/>
  <c r="L226" i="7"/>
  <c r="K226" i="7"/>
  <c r="H226" i="7"/>
  <c r="K220" i="7"/>
  <c r="H220" i="7"/>
  <c r="L219" i="7"/>
  <c r="K219" i="7"/>
  <c r="H219" i="7"/>
  <c r="L218" i="7"/>
  <c r="K218" i="7"/>
  <c r="H218" i="7"/>
  <c r="L217" i="7"/>
  <c r="K217" i="7"/>
  <c r="H217" i="7"/>
  <c r="K216" i="7"/>
  <c r="K215" i="7"/>
  <c r="H215" i="7"/>
  <c r="L214" i="7"/>
  <c r="K214" i="7"/>
  <c r="H214" i="7"/>
  <c r="L213" i="7"/>
  <c r="K213" i="7"/>
  <c r="H213" i="7"/>
  <c r="L212" i="7"/>
  <c r="K212" i="7"/>
  <c r="H212" i="7"/>
  <c r="L211" i="7"/>
  <c r="K211" i="7"/>
  <c r="L210" i="7"/>
  <c r="K210" i="7"/>
  <c r="H210" i="7"/>
  <c r="L209" i="7"/>
  <c r="K209" i="7"/>
  <c r="H209" i="7"/>
  <c r="L206" i="7"/>
  <c r="K206" i="7"/>
  <c r="H206" i="7"/>
  <c r="L205" i="7"/>
  <c r="K205" i="7"/>
  <c r="H205" i="7"/>
  <c r="L204" i="7"/>
  <c r="K204" i="7"/>
  <c r="H204" i="7"/>
  <c r="L203" i="7"/>
  <c r="K203" i="7"/>
  <c r="H203" i="7"/>
  <c r="L202" i="7"/>
  <c r="K202" i="7"/>
  <c r="H202" i="7"/>
  <c r="L201" i="7"/>
  <c r="K201" i="7"/>
  <c r="H201" i="7"/>
  <c r="L200" i="7"/>
  <c r="K200" i="7"/>
  <c r="H200" i="7"/>
  <c r="L197" i="7"/>
  <c r="K197" i="7"/>
  <c r="H197" i="7"/>
  <c r="L196" i="7"/>
  <c r="K196" i="7"/>
  <c r="H196" i="7"/>
  <c r="L195" i="7"/>
  <c r="K195" i="7"/>
  <c r="H195" i="7"/>
  <c r="L194" i="7"/>
  <c r="K194" i="7"/>
  <c r="H194" i="7"/>
  <c r="L223" i="7"/>
  <c r="K223" i="7"/>
  <c r="H223" i="7"/>
  <c r="K222" i="7"/>
  <c r="H222" i="7"/>
  <c r="L192" i="7"/>
  <c r="K192" i="7"/>
  <c r="H192" i="7"/>
  <c r="K191" i="7"/>
  <c r="L190" i="7"/>
  <c r="K190" i="7"/>
  <c r="H190" i="7"/>
  <c r="L189" i="7"/>
  <c r="K189" i="7"/>
  <c r="H189" i="7"/>
  <c r="L188" i="7"/>
  <c r="K188" i="7"/>
  <c r="H188" i="7"/>
  <c r="K187" i="7"/>
  <c r="L186" i="7"/>
  <c r="K186" i="7"/>
  <c r="H186" i="7"/>
  <c r="L185" i="7"/>
  <c r="K185" i="7"/>
  <c r="H185" i="7"/>
  <c r="L184" i="7"/>
  <c r="K184" i="7"/>
  <c r="H184" i="7"/>
  <c r="L183" i="7"/>
  <c r="K183" i="7"/>
  <c r="H183" i="7"/>
  <c r="L182" i="7"/>
  <c r="K182" i="7"/>
  <c r="H182" i="7"/>
  <c r="L181" i="7"/>
  <c r="K181" i="7"/>
  <c r="H181" i="7"/>
  <c r="L178" i="7"/>
  <c r="K178" i="7"/>
  <c r="H178" i="7"/>
  <c r="L177" i="7"/>
  <c r="K177" i="7"/>
  <c r="H177" i="7"/>
  <c r="L176" i="7"/>
  <c r="K176" i="7"/>
  <c r="H176" i="7"/>
  <c r="L175" i="7"/>
  <c r="K175" i="7"/>
  <c r="H175" i="7"/>
  <c r="K174" i="7"/>
  <c r="K173" i="7"/>
  <c r="L172" i="7"/>
  <c r="K172" i="7"/>
  <c r="L171" i="7"/>
  <c r="K171" i="7"/>
  <c r="H171" i="7"/>
  <c r="L170" i="7"/>
  <c r="K170" i="7"/>
  <c r="H170" i="7"/>
  <c r="L169" i="7"/>
  <c r="K169" i="7"/>
  <c r="H169" i="7"/>
  <c r="L168" i="7"/>
  <c r="K168" i="7"/>
  <c r="H168" i="7"/>
  <c r="L167" i="7"/>
  <c r="K167" i="7"/>
  <c r="H167" i="7"/>
  <c r="L165" i="7"/>
  <c r="K165" i="7"/>
  <c r="H165" i="7"/>
  <c r="L164" i="7"/>
  <c r="K164" i="7"/>
  <c r="H164" i="7"/>
  <c r="L163" i="7"/>
  <c r="K163" i="7"/>
  <c r="H163" i="7"/>
  <c r="L162" i="7"/>
  <c r="K162" i="7"/>
  <c r="H162" i="7"/>
  <c r="K161" i="7"/>
  <c r="K160" i="7"/>
  <c r="K159" i="7"/>
  <c r="H159" i="7"/>
  <c r="L158" i="7"/>
  <c r="K158" i="7"/>
  <c r="H158" i="7"/>
  <c r="L157" i="7"/>
  <c r="K157" i="7"/>
  <c r="H157" i="7"/>
  <c r="L156" i="7"/>
  <c r="K156" i="7"/>
  <c r="H156" i="7"/>
  <c r="L155" i="7"/>
  <c r="K155" i="7"/>
  <c r="H155" i="7"/>
  <c r="L154" i="7"/>
  <c r="K154" i="7"/>
  <c r="H154" i="7"/>
  <c r="L152" i="7"/>
  <c r="K152" i="7"/>
  <c r="H152" i="7"/>
  <c r="L151" i="7"/>
  <c r="K151" i="7"/>
  <c r="H151" i="7"/>
  <c r="L150" i="7"/>
  <c r="K150" i="7"/>
  <c r="H150" i="7"/>
  <c r="L149" i="7"/>
  <c r="K149" i="7"/>
  <c r="H149" i="7"/>
  <c r="L148" i="7"/>
  <c r="K148" i="7"/>
  <c r="H148" i="7"/>
  <c r="L147" i="7"/>
  <c r="K147" i="7"/>
  <c r="H147" i="7"/>
  <c r="L146" i="7"/>
  <c r="K146" i="7"/>
  <c r="H146" i="7"/>
  <c r="L145" i="7"/>
  <c r="K145" i="7"/>
  <c r="H145" i="7"/>
  <c r="L144" i="7"/>
  <c r="K144" i="7"/>
  <c r="H144" i="7"/>
  <c r="L143" i="7"/>
  <c r="K143" i="7"/>
  <c r="H143" i="7"/>
  <c r="L142" i="7"/>
  <c r="K142" i="7"/>
  <c r="H142" i="7"/>
  <c r="L141" i="7"/>
  <c r="K141" i="7"/>
  <c r="H141" i="7"/>
  <c r="L137" i="7"/>
  <c r="K137" i="7"/>
  <c r="H137" i="7"/>
  <c r="L136" i="7"/>
  <c r="K136" i="7"/>
  <c r="H136" i="7"/>
  <c r="L135" i="7"/>
  <c r="K135" i="7"/>
  <c r="H135" i="7"/>
  <c r="L134" i="7"/>
  <c r="K134" i="7"/>
  <c r="H134" i="7"/>
  <c r="L133" i="7"/>
  <c r="K133" i="7"/>
  <c r="H133" i="7"/>
  <c r="L132" i="7"/>
  <c r="K132" i="7"/>
  <c r="H132" i="7"/>
  <c r="L131" i="7"/>
  <c r="K131" i="7"/>
  <c r="H131" i="7"/>
  <c r="L130" i="7"/>
  <c r="K130" i="7"/>
  <c r="H130" i="7"/>
  <c r="L129" i="7"/>
  <c r="K129" i="7"/>
  <c r="H129" i="7"/>
  <c r="K128" i="7"/>
  <c r="K127" i="7"/>
  <c r="H127" i="7"/>
  <c r="L126" i="7"/>
  <c r="K126" i="7"/>
  <c r="H126" i="7"/>
  <c r="L125" i="7"/>
  <c r="K125" i="7"/>
  <c r="H125" i="7"/>
  <c r="L124" i="7"/>
  <c r="K124" i="7"/>
  <c r="H124" i="7"/>
  <c r="L123" i="7"/>
  <c r="K123" i="7"/>
  <c r="H123" i="7"/>
  <c r="L122" i="7"/>
  <c r="K122" i="7"/>
  <c r="H122" i="7"/>
  <c r="L119" i="7"/>
  <c r="K119" i="7"/>
  <c r="H119" i="7"/>
  <c r="L118" i="7"/>
  <c r="K118" i="7"/>
  <c r="H118" i="7"/>
  <c r="L115" i="7"/>
  <c r="K115" i="7"/>
  <c r="H115" i="7"/>
  <c r="L114" i="7"/>
  <c r="K114" i="7"/>
  <c r="H114" i="7"/>
  <c r="L113" i="7"/>
  <c r="K113" i="7"/>
  <c r="H113" i="7"/>
  <c r="L112" i="7"/>
  <c r="K112" i="7"/>
  <c r="H112" i="7"/>
  <c r="L111" i="7"/>
  <c r="K111" i="7"/>
  <c r="H111" i="7"/>
  <c r="L110" i="7"/>
  <c r="K110" i="7"/>
  <c r="H110" i="7"/>
  <c r="L109" i="7"/>
  <c r="K109" i="7"/>
  <c r="H109" i="7"/>
  <c r="L105" i="7"/>
  <c r="K105" i="7"/>
  <c r="H105" i="7"/>
  <c r="L104" i="7"/>
  <c r="K104" i="7"/>
  <c r="H104" i="7"/>
  <c r="L101" i="7"/>
  <c r="K101" i="7"/>
  <c r="H101" i="7"/>
  <c r="L100" i="7"/>
  <c r="K100" i="7"/>
  <c r="H100" i="7"/>
  <c r="L99" i="7"/>
  <c r="K99" i="7"/>
  <c r="H99" i="7"/>
  <c r="L98" i="7"/>
  <c r="K98" i="7"/>
  <c r="H98" i="7"/>
  <c r="L97" i="7"/>
  <c r="K97" i="7"/>
  <c r="H97" i="7"/>
  <c r="L96" i="7"/>
  <c r="K96" i="7"/>
  <c r="H96" i="7"/>
  <c r="L95" i="7"/>
  <c r="K95" i="7"/>
  <c r="H95" i="7"/>
  <c r="L94" i="7"/>
  <c r="K94" i="7"/>
  <c r="H94" i="7"/>
  <c r="L93" i="7"/>
  <c r="K93" i="7"/>
  <c r="H93" i="7"/>
  <c r="L92" i="7"/>
  <c r="K92" i="7"/>
  <c r="H92" i="7"/>
  <c r="L89" i="7"/>
  <c r="K89" i="7"/>
  <c r="H89" i="7"/>
  <c r="L88" i="7"/>
  <c r="K88" i="7"/>
  <c r="H88" i="7"/>
  <c r="L87" i="7"/>
  <c r="K87" i="7"/>
  <c r="H87" i="7"/>
  <c r="L86" i="7"/>
  <c r="K86" i="7"/>
  <c r="H86" i="7"/>
  <c r="L83" i="7"/>
  <c r="K83" i="7"/>
  <c r="H83" i="7"/>
  <c r="L82" i="7"/>
  <c r="K82" i="7"/>
  <c r="H82" i="7"/>
  <c r="L81" i="7"/>
  <c r="K81" i="7"/>
  <c r="H81" i="7"/>
  <c r="K80" i="7"/>
  <c r="H80" i="7"/>
  <c r="L77" i="7"/>
  <c r="K77" i="7"/>
  <c r="H77" i="7"/>
  <c r="L76" i="7"/>
  <c r="K76" i="7"/>
  <c r="H76" i="7"/>
  <c r="L75" i="7"/>
  <c r="K75" i="7"/>
  <c r="H75" i="7"/>
  <c r="L74" i="7"/>
  <c r="K74" i="7"/>
  <c r="H74" i="7"/>
  <c r="L73" i="7"/>
  <c r="K73" i="7"/>
  <c r="H73" i="7"/>
  <c r="L72" i="7"/>
  <c r="K72" i="7"/>
  <c r="H72" i="7"/>
  <c r="L71" i="7"/>
  <c r="K71" i="7"/>
  <c r="H71" i="7"/>
  <c r="L70" i="7"/>
  <c r="K70" i="7"/>
  <c r="H70" i="7"/>
  <c r="L69" i="7"/>
  <c r="K69" i="7"/>
  <c r="H69" i="7"/>
  <c r="L68" i="7"/>
  <c r="K68" i="7"/>
  <c r="H68" i="7"/>
  <c r="L67" i="7"/>
  <c r="K67" i="7"/>
  <c r="H67" i="7"/>
  <c r="L66" i="7"/>
  <c r="K66" i="7"/>
  <c r="H66" i="7"/>
  <c r="L65" i="7"/>
  <c r="K65" i="7"/>
  <c r="H65" i="7"/>
  <c r="L64" i="7"/>
  <c r="K64" i="7"/>
  <c r="H64" i="7"/>
  <c r="L61" i="7"/>
  <c r="K61" i="7"/>
  <c r="H61" i="7"/>
  <c r="L60" i="7"/>
  <c r="K60" i="7"/>
  <c r="H60" i="7"/>
  <c r="L59" i="7"/>
  <c r="K59" i="7"/>
  <c r="H59" i="7"/>
  <c r="L58" i="7"/>
  <c r="K58" i="7"/>
  <c r="H58" i="7"/>
  <c r="L57" i="7"/>
  <c r="K57" i="7"/>
  <c r="H57" i="7"/>
  <c r="L56" i="7"/>
  <c r="K56" i="7"/>
  <c r="H56" i="7"/>
  <c r="L55" i="7"/>
  <c r="K55" i="7"/>
  <c r="H55" i="7"/>
  <c r="L54" i="7"/>
  <c r="K54" i="7"/>
  <c r="H54" i="7"/>
  <c r="L53" i="7"/>
  <c r="K53" i="7"/>
  <c r="H53" i="7"/>
  <c r="L52" i="7"/>
  <c r="K52" i="7"/>
  <c r="H52" i="7"/>
  <c r="L51" i="7"/>
  <c r="K51" i="7"/>
  <c r="H51" i="7"/>
  <c r="L50" i="7"/>
  <c r="K50" i="7"/>
  <c r="H50" i="7"/>
  <c r="L49" i="7"/>
  <c r="K49" i="7"/>
  <c r="H49" i="7"/>
  <c r="L48" i="7"/>
  <c r="K48" i="7"/>
  <c r="H48" i="7"/>
  <c r="L47" i="7"/>
  <c r="K47" i="7"/>
  <c r="H47" i="7"/>
  <c r="L46" i="7"/>
  <c r="K46" i="7"/>
  <c r="H46" i="7"/>
  <c r="L45" i="7"/>
  <c r="K45" i="7"/>
  <c r="H45" i="7"/>
  <c r="L44" i="7"/>
  <c r="K44" i="7"/>
  <c r="H44" i="7"/>
  <c r="L43" i="7"/>
  <c r="K43" i="7"/>
  <c r="H43" i="7"/>
  <c r="L42" i="7"/>
  <c r="K42" i="7"/>
  <c r="H42" i="7"/>
  <c r="L41" i="7"/>
  <c r="K41" i="7"/>
  <c r="H41" i="7"/>
  <c r="L40" i="7"/>
  <c r="K40" i="7"/>
  <c r="H40" i="7"/>
  <c r="L37" i="7"/>
  <c r="K37" i="7"/>
  <c r="H37" i="7"/>
  <c r="L36" i="7"/>
  <c r="K36" i="7"/>
  <c r="H36" i="7"/>
  <c r="L35" i="7"/>
  <c r="K35" i="7"/>
  <c r="H35" i="7"/>
  <c r="L34" i="7"/>
  <c r="K34" i="7"/>
  <c r="H34" i="7"/>
  <c r="L33" i="7"/>
  <c r="K33" i="7"/>
  <c r="H33" i="7"/>
  <c r="L32" i="7"/>
  <c r="K32" i="7"/>
  <c r="H32" i="7"/>
  <c r="L29" i="7"/>
  <c r="K29" i="7"/>
  <c r="H29" i="7"/>
  <c r="L28" i="7"/>
  <c r="K28" i="7"/>
  <c r="H28" i="7"/>
  <c r="L27" i="7"/>
  <c r="K27" i="7"/>
  <c r="H27" i="7"/>
  <c r="L26" i="7"/>
  <c r="K26" i="7"/>
  <c r="H26" i="7"/>
  <c r="L25" i="7"/>
  <c r="K25" i="7"/>
  <c r="H25" i="7"/>
  <c r="K24" i="7"/>
  <c r="L21" i="7"/>
  <c r="K21" i="7"/>
  <c r="H21" i="7"/>
  <c r="L20" i="7"/>
  <c r="K20" i="7"/>
  <c r="H20" i="7"/>
  <c r="L19" i="7"/>
  <c r="K19" i="7"/>
  <c r="H19" i="7"/>
  <c r="L18" i="7"/>
  <c r="K18" i="7"/>
  <c r="H18" i="7"/>
  <c r="L17" i="7"/>
  <c r="K17" i="7"/>
  <c r="H17" i="7"/>
  <c r="L16" i="7"/>
  <c r="K16" i="7"/>
  <c r="H16" i="7"/>
  <c r="L13" i="7"/>
  <c r="K13" i="7"/>
  <c r="H13" i="7"/>
  <c r="L12" i="7"/>
  <c r="K12" i="7"/>
  <c r="H12" i="7"/>
  <c r="L11" i="7"/>
  <c r="K11" i="7"/>
  <c r="H11" i="7"/>
  <c r="K10" i="7"/>
  <c r="H10" i="7"/>
  <c r="L9" i="7"/>
  <c r="K9" i="7"/>
  <c r="H9" i="7"/>
  <c r="H8" i="7"/>
  <c r="H216" i="7" l="1"/>
  <c r="L191" i="7"/>
  <c r="H187" i="7"/>
  <c r="L160" i="7"/>
  <c r="H128" i="7"/>
  <c r="F3" i="7"/>
  <c r="F1" i="7"/>
  <c r="F2" i="7" l="1"/>
  <c r="H2" i="7" s="1"/>
  <c r="J2" i="7" s="1"/>
  <c r="H3" i="7"/>
  <c r="J3" i="7" s="1"/>
</calcChain>
</file>

<file path=xl/sharedStrings.xml><?xml version="1.0" encoding="utf-8"?>
<sst xmlns="http://schemas.openxmlformats.org/spreadsheetml/2006/main" count="1615" uniqueCount="237">
  <si>
    <t>DESCRIÇÃO</t>
  </si>
  <si>
    <t>EMBALAGEM</t>
  </si>
  <si>
    <t>PESO/LITRO</t>
  </si>
  <si>
    <t>LATA</t>
  </si>
  <si>
    <t>18 LTS</t>
  </si>
  <si>
    <t>GALÃO</t>
  </si>
  <si>
    <t>3,6 LTS</t>
  </si>
  <si>
    <t>BALDE</t>
  </si>
  <si>
    <t>25 KG</t>
  </si>
  <si>
    <t>20 KG</t>
  </si>
  <si>
    <t>5 KG</t>
  </si>
  <si>
    <t>REV PEDRAS NATURAIS</t>
  </si>
  <si>
    <t>3,6 KG</t>
  </si>
  <si>
    <t>POTE</t>
  </si>
  <si>
    <t>100 GR</t>
  </si>
  <si>
    <t>14 LTS</t>
  </si>
  <si>
    <t>3,6LTS</t>
  </si>
  <si>
    <t>MASSAS</t>
  </si>
  <si>
    <t>LITRO</t>
  </si>
  <si>
    <t>1,5 KG</t>
  </si>
  <si>
    <t>CAIXA</t>
  </si>
  <si>
    <t>MASSA PVA</t>
  </si>
  <si>
    <t>TAMBOR</t>
  </si>
  <si>
    <t>198 LTS</t>
  </si>
  <si>
    <t>SOLVENTES</t>
  </si>
  <si>
    <t xml:space="preserve">SELADORA P/ MADEIRA </t>
  </si>
  <si>
    <t>SELADORA P/ MADEIRA</t>
  </si>
  <si>
    <t>3,2 LTS</t>
  </si>
  <si>
    <t>0,9 LTS</t>
  </si>
  <si>
    <t>16 LTS</t>
  </si>
  <si>
    <t>PIGMENTOS</t>
  </si>
  <si>
    <t>BISNAGAS</t>
  </si>
  <si>
    <t>PACOTE</t>
  </si>
  <si>
    <t>TOTAL SEM DESCONTO</t>
  </si>
  <si>
    <t>TOTAL COM DESCONTO</t>
  </si>
  <si>
    <t>QTD</t>
  </si>
  <si>
    <t>% DESC</t>
  </si>
  <si>
    <t>4,2 KG</t>
  </si>
  <si>
    <t>15 LTS</t>
  </si>
  <si>
    <t>LINHA ACRILICA</t>
  </si>
  <si>
    <t>VALOR
TABELA</t>
  </si>
  <si>
    <t>VALOR
VENDA</t>
  </si>
  <si>
    <t>VLR PED
C/ DESC</t>
  </si>
  <si>
    <t>VLR PED
S/ DESC</t>
  </si>
  <si>
    <t>ACR PREMIUM FOS</t>
  </si>
  <si>
    <t>MAXFLEX BOR LIQ FOS</t>
  </si>
  <si>
    <t>PINTURA EMBO FOS</t>
  </si>
  <si>
    <t>ACR PREMIUM SEDA ACE</t>
  </si>
  <si>
    <t>ACR PREMIUM LUZ E BRI S/B</t>
  </si>
  <si>
    <t>PREMIUM</t>
  </si>
  <si>
    <t>STANDARD</t>
  </si>
  <si>
    <t>VEDAMAX</t>
  </si>
  <si>
    <t>18 KG</t>
  </si>
  <si>
    <t>ELASTOMERICO</t>
  </si>
  <si>
    <t>ACR RENDE MAIS FOS</t>
  </si>
  <si>
    <t>ACR COBERTEX FOS</t>
  </si>
  <si>
    <t>ACR COBERTEX S/B</t>
  </si>
  <si>
    <t>ECONÔMICO</t>
  </si>
  <si>
    <t>ACR PINTAMAX FOS</t>
  </si>
  <si>
    <t>ACR GESSO/ALVEN FOSCO</t>
  </si>
  <si>
    <t>ACR ESSENCIAL FOS</t>
  </si>
  <si>
    <t>REVESTIMENTO</t>
  </si>
  <si>
    <t>TEXT EXT</t>
  </si>
  <si>
    <t>TEXT EXT LISA (ESPECIAL)</t>
  </si>
  <si>
    <t>TEXT EXT PROJ (ESPECIAL)</t>
  </si>
  <si>
    <t>MAX ARRANHADO MG</t>
  </si>
  <si>
    <t>REV STELATTO BRIL / ARENATTO / ILLUMINARI</t>
  </si>
  <si>
    <t>PRIMER ACR TOM (FUNDO PEDRAS)</t>
  </si>
  <si>
    <t>MICA FLOCADA</t>
  </si>
  <si>
    <t>BT CIMENTO QUEIMADO FOS</t>
  </si>
  <si>
    <t>BT EFEITO MARMORE BRIL</t>
  </si>
  <si>
    <t>COMPLEMENTOS</t>
  </si>
  <si>
    <t>SELADOR ACR BRANCO</t>
  </si>
  <si>
    <t>SELADOR ACR BRANCO MAX CONSTR</t>
  </si>
  <si>
    <t>SELADOR ACR PIGMENTADO (ESPECIAL)</t>
  </si>
  <si>
    <t>VERNIZ ACRÍLICO BRIL</t>
  </si>
  <si>
    <t>FUNDO PREP PAREDE BASE AGUA</t>
  </si>
  <si>
    <t>PISO</t>
  </si>
  <si>
    <t>PISOMAX</t>
  </si>
  <si>
    <t>PISOMAX EXT RES</t>
  </si>
  <si>
    <t>RESINA</t>
  </si>
  <si>
    <t>MAX TELHA BRIL</t>
  </si>
  <si>
    <t>MASSA ACRILICA</t>
  </si>
  <si>
    <t>6 KG</t>
  </si>
  <si>
    <t>MASSA PVA MAX CONSTR</t>
  </si>
  <si>
    <t>MASSA P/ MADEIRA</t>
  </si>
  <si>
    <t>300 GR</t>
  </si>
  <si>
    <t>IMPERMEABILIZANTE</t>
  </si>
  <si>
    <t>MANTA LIQUIDA</t>
  </si>
  <si>
    <t>ESMALTE BASE AGUA</t>
  </si>
  <si>
    <t>ESM B. AGUA SEC RAP ACE / FOS</t>
  </si>
  <si>
    <t>ESM B. AGUA SEC RAP BRIL</t>
  </si>
  <si>
    <t>LINHA ESMALTES</t>
  </si>
  <si>
    <t>ESMALTE BASE SOLVENTE</t>
  </si>
  <si>
    <t>ESM COBERTEX BRIL ALUMINIO</t>
  </si>
  <si>
    <t>ESM COBERTEX BRIL</t>
  </si>
  <si>
    <t>ESM COBERTEX BRIL (ESPECIAL)</t>
  </si>
  <si>
    <t>FUNDO P/ GALVANIZADO BRANCO</t>
  </si>
  <si>
    <t>ZARCAO UNIVERSAL</t>
  </si>
  <si>
    <t>FUNDO PREP PAREDE BASE SOLVENTE</t>
  </si>
  <si>
    <t>EPOXI E POLIURETANO</t>
  </si>
  <si>
    <t>EPOXI BASE AGUA BRIL</t>
  </si>
  <si>
    <t>7,2 LTS</t>
  </si>
  <si>
    <t>KIT EPOXI PISO HS BRIL</t>
  </si>
  <si>
    <t>KIT VERNIZ EPOXI HS BRIL INCOLOR</t>
  </si>
  <si>
    <t>KIT SELADOR EPOXI BRIL INCOLOR</t>
  </si>
  <si>
    <t>KIT EPOXI UG BRIL</t>
  </si>
  <si>
    <t>KIT PRIMER EPOXI UG FOS</t>
  </si>
  <si>
    <t>KIT PRIMER EPOXI MF FOS</t>
  </si>
  <si>
    <t>KIT EPOXI MASTIC ACE</t>
  </si>
  <si>
    <t>KIT EPOXI ALCATRAO DE HULHA FOS</t>
  </si>
  <si>
    <t>KIT ESM PU BRIL</t>
  </si>
  <si>
    <t>KIT VERNIZ PU BRIL INCOLOR</t>
  </si>
  <si>
    <t>5,0 LTS</t>
  </si>
  <si>
    <t>AGREGADO QTZO MALHA 325</t>
  </si>
  <si>
    <t>1 KG</t>
  </si>
  <si>
    <t>AGREGADO QTZO MALHA 50</t>
  </si>
  <si>
    <t>ESMALTE INDUSTRIAL AUTOMOTIVO</t>
  </si>
  <si>
    <t>BRANCO</t>
  </si>
  <si>
    <t>PRIMER ACAB ACE CORES</t>
  </si>
  <si>
    <t>AREIA|CAMURÇA|COLORADO|AZUL CELESTE| CINZA CLARO N6,5|CINZA CHASSI SCANIA|CINZA SUBGRAY|CINZA ESCURO|MARROM CONHAQUE 7,5YR|CINZA MEDIO N5
MARFIM 5Y 8.5/4|AZUL NEW HOLLAND|AZUL DEL REY|AZUL 2,5PB 4/10|VERDE MÁQUINAS|VERDE 10GY 6/6| AZUL FRANÇA|CINZA MASSEY FERGUSON
TABACO|PLATINA</t>
  </si>
  <si>
    <t>AMARELO 5Y 8/12|VERDE JOHN DEERE|VERDE FOLHA|AMARELO PETROBRAS 2.5Y 8/12| VERMELHO MASSEY FERGUSON|VERMELHO CASE II|LARANJA STARA
AMARELO CARTEPILAR 10YR 7/12| LARANJA 2.5Y 6/14|VERMELHO 5R 4/14| AMARELO OURO 10YR 8/14| MARROM 2,5YR 2/4| VERDE 2,5 3/4</t>
  </si>
  <si>
    <t>PRIMER ACAB ACE CORES INTENSAS</t>
  </si>
  <si>
    <t>ESM IND/AGR ACE/FOS/BRIL BRANCO N9,5</t>
  </si>
  <si>
    <t>PRIMER ACAB ACE BRANCO N9,5</t>
  </si>
  <si>
    <t>ESM IND/AGR ACE/FOS/BRIL CORES</t>
  </si>
  <si>
    <t>ESM IND/AGR ACE/FOS/BRIL CORES INTENSAS</t>
  </si>
  <si>
    <t>ESM IND/AGR DF S/B BRANCO N9,5 (ESPECIAL)</t>
  </si>
  <si>
    <t>ESM IND/AGR DF S/B CORES (ESPECIAL)</t>
  </si>
  <si>
    <t>ESM IND/AGR DF S/B CORES INTENSAS (ESPECIAL)</t>
  </si>
  <si>
    <t>DEMARCAÇÃO VIARIA</t>
  </si>
  <si>
    <t>MAX TRAFEGO BASE AGUA</t>
  </si>
  <si>
    <t>MAX TRAFEGO (BASE SOLV) CORES</t>
  </si>
  <si>
    <t>MAX TRAFEGO (BASE SOLV) BRANCO</t>
  </si>
  <si>
    <t>MAX TRAFEGO (BASE SOLV) BRANCO/CORES</t>
  </si>
  <si>
    <t>SOLVRAZ</t>
  </si>
  <si>
    <t>MAX THINNER LIMPEZA (4116)</t>
  </si>
  <si>
    <t>MAX THINNER DILUICAO (4800)</t>
  </si>
  <si>
    <t>LINHA MADEIRA</t>
  </si>
  <si>
    <t>VERNIZ COPAL BRIL</t>
  </si>
  <si>
    <t>VERNIZ FILTRO SOLAR BRIL</t>
  </si>
  <si>
    <t>VERNIZ MARITMO BRIL INCOLOR</t>
  </si>
  <si>
    <t>RESINA MULTI BRIL INCOLOR</t>
  </si>
  <si>
    <t>TINTOMETRIA UNIVERSAL</t>
  </si>
  <si>
    <t>BT MAXFLEX BOR LIQ FOS CC</t>
  </si>
  <si>
    <t>BT MAXFLEX BOR LIQ FOS CM</t>
  </si>
  <si>
    <t>BT MAXFLEX BOR LIQ FOS CE</t>
  </si>
  <si>
    <t>BT PINTURA EMBO FOS CC</t>
  </si>
  <si>
    <t>BT PREMIUM FOSCO CC</t>
  </si>
  <si>
    <t>BT PREMIUM FOSCO CM</t>
  </si>
  <si>
    <t>BT PREMIUM FOSCO CE</t>
  </si>
  <si>
    <t>0,8 LTS</t>
  </si>
  <si>
    <t>BT PREMIUM SEDA ACE CC</t>
  </si>
  <si>
    <t>BT PREMIUM SEDA ACE CM</t>
  </si>
  <si>
    <t>BT PREMIUM SEDA ACE CE</t>
  </si>
  <si>
    <t>BT PREMIUM LUZ E BRILHO S/B CC</t>
  </si>
  <si>
    <t>BT PREMIUM LUZ E BRILHO S/B CM</t>
  </si>
  <si>
    <t>BT PREMIUM LUZ E BRILHO S/B CE</t>
  </si>
  <si>
    <t>BT ACR RENDE MAIS FOS CC</t>
  </si>
  <si>
    <t>BT ACR COBERTEX FOS CC</t>
  </si>
  <si>
    <t>BT ACR COBERTEX S/B CC</t>
  </si>
  <si>
    <t>BT TEXT EXT CC/CM</t>
  </si>
  <si>
    <t>BT TEXT EXT CE</t>
  </si>
  <si>
    <t>BT ARRANHADO MG</t>
  </si>
  <si>
    <t>BT STELATTO BRIL CC/CM</t>
  </si>
  <si>
    <t>BT STELATTO BRIL CE</t>
  </si>
  <si>
    <t>BT ILLUMINARI CC/CM</t>
  </si>
  <si>
    <t>ESMALTES</t>
  </si>
  <si>
    <t>BT ESM BASE AGUA BRIL CC</t>
  </si>
  <si>
    <t>BT ESM BASE AGUA BRIL CM</t>
  </si>
  <si>
    <t>BT ESM BASE AGUA BRIL CE</t>
  </si>
  <si>
    <t>BT ESM IND/AGR BRIL CC</t>
  </si>
  <si>
    <t>BT ESM IND/AGR BRIL CE</t>
  </si>
  <si>
    <t>BT ESM IND/AGR BRIL CM</t>
  </si>
  <si>
    <t xml:space="preserve">CORANTE TRANSMIX PRETO BK  </t>
  </si>
  <si>
    <t>CORANTE TRANSMIX AZUL BL</t>
  </si>
  <si>
    <t>CORANTE TRANSMIX VERDE GR</t>
  </si>
  <si>
    <t>CORANTE TRANSMIX AZUL HB</t>
  </si>
  <si>
    <t>CORANTE TRANSMIX VERMELHO HR</t>
  </si>
  <si>
    <t>CORANTE TRANSMIX AMARELO HY</t>
  </si>
  <si>
    <t>CORANTE TRANSMIX MAGENTA MG</t>
  </si>
  <si>
    <t>CORANTE TRANSMIX LARANJA PP</t>
  </si>
  <si>
    <t>CORANTE TRANSMIX VERMELHO OXIDO RO</t>
  </si>
  <si>
    <t>CORANTE TRANSMIX BRANCO WH</t>
  </si>
  <si>
    <t>CORANTE TRANSMIX AMARELO YL</t>
  </si>
  <si>
    <t>CORANTE TRANSMIX AMARELO OXIDO YO</t>
  </si>
  <si>
    <t>TINTOMETRIA SOLVENTE</t>
  </si>
  <si>
    <t>BT ESM COBERTEX BRIL BASE CLEAR</t>
  </si>
  <si>
    <t>3,0 LTS</t>
  </si>
  <si>
    <t>0,75 LTS</t>
  </si>
  <si>
    <t>BT ESM IND/AGR BRIL BASE CLEAR</t>
  </si>
  <si>
    <t>BT KIT ESM PU BRIL CLEAR</t>
  </si>
  <si>
    <t>12 / 50ML</t>
  </si>
  <si>
    <t>BISNAGA CORANTE AMARELO</t>
  </si>
  <si>
    <t>BISNAGA CORANTE AZUL</t>
  </si>
  <si>
    <t>BISNAGA CORANTE LARANJA</t>
  </si>
  <si>
    <t>BISNAGA CORANTE MARROM</t>
  </si>
  <si>
    <t>BISNAGA CORANTE OCRE</t>
  </si>
  <si>
    <t>BISNAGA CORANTE PRETO</t>
  </si>
  <si>
    <t>BISNAGA CORANTE VERDE</t>
  </si>
  <si>
    <t>BISNAGA CORANTE VERMELHO</t>
  </si>
  <si>
    <t>BISNAGA CORANTE VIOLETA</t>
  </si>
  <si>
    <t>SPRAY</t>
  </si>
  <si>
    <t>SPRAY ALTA TEMPERATURA FOS</t>
  </si>
  <si>
    <t>06 / 300ML</t>
  </si>
  <si>
    <t>06 / 400ML</t>
  </si>
  <si>
    <t>06 / 350ML</t>
  </si>
  <si>
    <t>SPRAY METALICO</t>
  </si>
  <si>
    <t>SPRAY USO GERAL BRIL/FOS</t>
  </si>
  <si>
    <t>DESC MEDIO</t>
  </si>
  <si>
    <t>CORANTE MAXMIX BS AMARELO LIMPO PY74 ALQ</t>
  </si>
  <si>
    <t>CORANTE MAXMIX BS AMARELO OURO PY65 ALQ</t>
  </si>
  <si>
    <t>CORANTE MAXMIX BS AMARELO OXIDO PY42 ALQ</t>
  </si>
  <si>
    <t>CORANTE MAXMIX BS AZUL PB 15.1 ALQ</t>
  </si>
  <si>
    <t>CORANTE MAXMIX BS BRANCO PW6 ALQ</t>
  </si>
  <si>
    <t>CORANTE MAXMIX BS PRETO PB7 ALQ</t>
  </si>
  <si>
    <t>CORANTE MAXMIX BS VERMELHO LIMPO PR170 ALQ</t>
  </si>
  <si>
    <t>CORANTE MAXMIX BS VERMELHO OXIDO PR101 ALQ</t>
  </si>
  <si>
    <t>MANTA LIQUIDA (ESPECIAL)</t>
  </si>
  <si>
    <t>ESM B. AGUA SEC RAP BRIL BRANCO NEVE</t>
  </si>
  <si>
    <t>ESM B. AGUA SEC RAP BRIL CORES (ESPECIAL)</t>
  </si>
  <si>
    <t>ESM B. AGUA SEC RAP ACE / FOS (ESPECIAL)</t>
  </si>
  <si>
    <t>ACR GESSO/ALVEN FOSCO (ESPECIAL)</t>
  </si>
  <si>
    <t>TEXTUFLEX BRANCO NEVE</t>
  </si>
  <si>
    <t>TEXTUFLEX CORES (ESPECIAL)</t>
  </si>
  <si>
    <t>CIMENTO QUEIMADO FOS</t>
  </si>
  <si>
    <t>EPOXI BASE AGUA BRIL BRANCO</t>
  </si>
  <si>
    <t>VALOR DESCONTO</t>
  </si>
  <si>
    <t>KIT PU PISCINA (AZUL E BRANCO)</t>
  </si>
  <si>
    <t>DILUENTE INDUSTRIAL</t>
  </si>
  <si>
    <t>ESM D FERRUGEM BRIL</t>
  </si>
  <si>
    <t>ESM D FERRUGEM METALICO</t>
  </si>
  <si>
    <t>TIPO</t>
  </si>
  <si>
    <t>L</t>
  </si>
  <si>
    <t>SL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</si>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</sst>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theme="7" tint="0.39997558519241921"/>
        <bgColor rgb="FF993300"/>
      </patternFill>
    </fill>
    <fill>
      <patternFill patternType="solid">
        <fgColor theme="6" tint="0.59999389629810485"/>
        <bgColor rgb="FF9933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44" fontId="6" fillId="0" borderId="0" xfId="5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4" fontId="6" fillId="0" borderId="1" xfId="5" applyFont="1" applyBorder="1"/>
    <xf numFmtId="10" fontId="7" fillId="0" borderId="1" xfId="8" applyNumberFormat="1" applyFont="1" applyBorder="1"/>
    <xf numFmtId="44" fontId="6" fillId="0" borderId="1" xfId="0" applyNumberFormat="1" applyFont="1" applyBorder="1"/>
    <xf numFmtId="44" fontId="6" fillId="0" borderId="1" xfId="5" applyFont="1" applyFill="1" applyBorder="1"/>
    <xf numFmtId="10" fontId="7" fillId="0" borderId="1" xfId="8" applyNumberFormat="1" applyFont="1" applyFill="1" applyBorder="1"/>
    <xf numFmtId="44" fontId="3" fillId="7" borderId="1" xfId="5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3" borderId="0" xfId="1" applyFont="1" applyFill="1"/>
    <xf numFmtId="0" fontId="2" fillId="2" borderId="0" xfId="1" applyFont="1" applyFill="1"/>
    <xf numFmtId="0" fontId="5" fillId="4" borderId="1" xfId="0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vertical="center"/>
    </xf>
    <xf numFmtId="44" fontId="2" fillId="6" borderId="1" xfId="5" applyFont="1" applyFill="1" applyBorder="1" applyAlignment="1">
      <alignment horizontal="center" vertical="center" wrapText="1"/>
    </xf>
    <xf numFmtId="10" fontId="5" fillId="0" borderId="1" xfId="8" applyNumberFormat="1" applyFont="1" applyBorder="1" applyAlignment="1">
      <alignment horizontal="right" vertical="center"/>
    </xf>
    <xf numFmtId="44" fontId="2" fillId="7" borderId="1" xfId="5" applyFont="1" applyFill="1" applyBorder="1" applyAlignment="1">
      <alignment horizontal="center" vertical="center" wrapText="1"/>
    </xf>
    <xf numFmtId="0" fontId="2" fillId="3" borderId="2" xfId="1" applyFont="1" applyFill="1" applyBorder="1"/>
    <xf numFmtId="0" fontId="2" fillId="3" borderId="3" xfId="1" applyFont="1" applyFill="1" applyBorder="1"/>
    <xf numFmtId="0" fontId="2" fillId="3" borderId="4" xfId="1" applyFont="1" applyFill="1" applyBorder="1"/>
    <xf numFmtId="0" fontId="2" fillId="2" borderId="5" xfId="1" applyFont="1" applyFill="1" applyBorder="1"/>
    <xf numFmtId="0" fontId="2" fillId="2" borderId="6" xfId="1" applyFont="1" applyFill="1" applyBorder="1"/>
    <xf numFmtId="0" fontId="8" fillId="2" borderId="5" xfId="1" applyFont="1" applyFill="1" applyBorder="1"/>
    <xf numFmtId="0" fontId="2" fillId="3" borderId="5" xfId="1" applyFont="1" applyFill="1" applyBorder="1"/>
    <xf numFmtId="0" fontId="2" fillId="3" borderId="6" xfId="1" applyFont="1" applyFill="1" applyBorder="1"/>
    <xf numFmtId="3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4" fontId="2" fillId="5" borderId="1" xfId="5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/>
      <protection locked="0"/>
    </xf>
    <xf numFmtId="44" fontId="3" fillId="6" borderId="1" xfId="5" applyFont="1" applyFill="1" applyBorder="1" applyAlignment="1" applyProtection="1">
      <alignment horizontal="center" vertical="center" wrapText="1"/>
      <protection locked="0"/>
    </xf>
    <xf numFmtId="10" fontId="7" fillId="0" borderId="1" xfId="8" applyNumberFormat="1" applyFont="1" applyBorder="1" applyProtection="1">
      <protection locked="0"/>
    </xf>
    <xf numFmtId="44" fontId="7" fillId="0" borderId="1" xfId="0" applyNumberFormat="1" applyFont="1" applyBorder="1"/>
    <xf numFmtId="10" fontId="7" fillId="0" borderId="1" xfId="8" applyNumberFormat="1" applyFont="1" applyFill="1" applyBorder="1" applyProtection="1">
      <protection locked="0"/>
    </xf>
    <xf numFmtId="0" fontId="3" fillId="2" borderId="1" xfId="1" applyFont="1" applyFill="1" applyBorder="1"/>
    <xf numFmtId="0" fontId="3" fillId="2" borderId="1" xfId="1" applyFont="1" applyFill="1" applyBorder="1" applyAlignment="1">
      <alignment wrapText="1"/>
    </xf>
    <xf numFmtId="0" fontId="6" fillId="0" borderId="0" xfId="0" applyFont="1" applyAlignment="1">
      <alignment horizontal="center" vertical="center"/>
    </xf>
  </cellXfs>
  <cellStyles count="9">
    <cellStyle name="Moeda" xfId="5" builtinId="4"/>
    <cellStyle name="Moeda 2" xfId="7" xr:uid="{E4902E26-50E3-404A-8435-73090DEBCAB3}"/>
    <cellStyle name="Moeda 3" xfId="2" xr:uid="{0570FFE5-F4D7-4513-B7B6-A9599CCA3D5F}"/>
    <cellStyle name="Normal" xfId="0" builtinId="0"/>
    <cellStyle name="Normal 5" xfId="1" xr:uid="{048DECA4-4C12-44AB-9AF4-43D1DC70122C}"/>
    <cellStyle name="Porcentagem" xfId="8" builtinId="5"/>
    <cellStyle name="Porcentagem 2" xfId="3" xr:uid="{88C6EC20-CDC8-4E31-9384-FBC71B7F1ABF}"/>
    <cellStyle name="Vírgula 2" xfId="6" xr:uid="{DDA840C1-0DA8-48D4-A65B-9103455D9335}"/>
    <cellStyle name="Vírgula 3" xfId="4" xr:uid="{A7413B2B-A770-49D8-9B7E-1C00DD6064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35719</xdr:colOff>
      <xdr:row>0</xdr:row>
      <xdr:rowOff>23813</xdr:rowOff>
    </xdr:from>
    <xdr:to>
      <xdr:col>2</xdr:col>
      <xdr:colOff>2083593</xdr:colOff>
      <xdr:row>2</xdr:row>
      <xdr:rowOff>166687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632E91-C178-4130-8630-0D7787038FE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719" y="23813"/>
          <a:ext cx="2657474" cy="1092993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4724-E181-487D-97BA-5D0F914BFEA1}">
  <sheetPr>
    <pageSetUpPr fitToPage="1"/>
  </sheetPr>
  <dimension ref="A1:M363"/>
  <sheetViews>
    <sheetView tabSelected="1" topLeftCell="A59" zoomScale="80" zoomScaleNormal="80" workbookViewId="0">
      <selection activeCell="A31" sqref="A31:XFD32"/>
    </sheetView>
  </sheetViews>
  <sheetFormatPr defaultRowHeight="15" x14ac:dyDescent="0.25"/>
  <cols>
    <col min="1" max="1" width="9.140625" style="37"/>
    <col min="2" max="2" width="9.140625" style="10"/>
    <col min="3" max="3" width="46.42578125" style="11" customWidth="1"/>
    <col min="4" max="4" width="16.7109375" style="10" bestFit="1" customWidth="1"/>
    <col min="5" max="5" width="15" style="10" bestFit="1" customWidth="1"/>
    <col min="6" max="6" width="15.28515625" style="1" customWidth="1"/>
    <col min="7" max="7" width="16.5703125" style="11" customWidth="1"/>
    <col min="8" max="8" width="15.140625" style="11" customWidth="1"/>
    <col min="9" max="9" width="16.5703125" style="11" customWidth="1"/>
    <col min="10" max="10" width="15.140625" style="11" bestFit="1" customWidth="1"/>
    <col min="11" max="11" width="16.85546875" style="11" customWidth="1"/>
    <col min="12" max="13" width="15" style="11" customWidth="1"/>
    <col min="14" max="16384" width="9.140625" style="11"/>
  </cols>
  <sheetData>
    <row r="1" spans="1:13" ht="37.5" customHeight="1" x14ac:dyDescent="0.25">
      <c r="E1" s="14" t="s">
        <v>33</v>
      </c>
      <c r="F1" s="15">
        <f>SUM(K8:K363)</f>
        <v>0</v>
      </c>
      <c r="G1" s="14"/>
      <c r="H1" s="15"/>
      <c r="I1" s="14"/>
      <c r="J1" s="15"/>
    </row>
    <row r="2" spans="1:13" ht="37.5" customHeight="1" x14ac:dyDescent="0.25">
      <c r="E2" s="16" t="s">
        <v>34</v>
      </c>
      <c r="F2" s="15">
        <f>SUM(L8:L363)</f>
        <v>0</v>
      </c>
      <c r="G2" s="16" t="s">
        <v>227</v>
      </c>
      <c r="H2" s="15">
        <f>F1-F2</f>
        <v>0</v>
      </c>
      <c r="I2" s="16" t="s">
        <v>209</v>
      </c>
      <c r="J2" s="17" t="e">
        <f>H2/F1</f>
        <v>#DIV/0!</v>
      </c>
    </row>
    <row r="3" spans="1:13" ht="37.5" customHeight="1" x14ac:dyDescent="0.25">
      <c r="E3" s="18" t="s">
        <v>34</v>
      </c>
      <c r="F3" s="15">
        <f>SUM(M8:M363)</f>
        <v>0</v>
      </c>
      <c r="G3" s="18" t="s">
        <v>227</v>
      </c>
      <c r="H3" s="15">
        <f>F1-F3</f>
        <v>0</v>
      </c>
      <c r="I3" s="18" t="s">
        <v>209</v>
      </c>
      <c r="J3" s="17" t="e">
        <f>H3/F1</f>
        <v>#DIV/0!</v>
      </c>
    </row>
    <row r="5" spans="1:13" ht="18.75" x14ac:dyDescent="0.3">
      <c r="A5" s="37" t="s">
        <v>233</v>
      </c>
      <c r="B5" s="19"/>
      <c r="C5" s="20" t="s">
        <v>39</v>
      </c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18.75" x14ac:dyDescent="0.3">
      <c r="A6" s="37" t="s">
        <v>234</v>
      </c>
      <c r="B6" s="22"/>
      <c r="C6" s="13" t="s">
        <v>53</v>
      </c>
      <c r="D6" s="13"/>
      <c r="E6" s="13"/>
      <c r="F6" s="13"/>
      <c r="G6" s="13"/>
      <c r="H6" s="13"/>
      <c r="I6" s="13"/>
      <c r="J6" s="13"/>
      <c r="K6" s="13"/>
      <c r="L6" s="13"/>
      <c r="M6" s="23"/>
    </row>
    <row r="7" spans="1:13" ht="37.5" x14ac:dyDescent="0.25">
      <c r="A7" s="37" t="s">
        <v>232</v>
      </c>
      <c r="B7" s="27" t="s">
        <v>35</v>
      </c>
      <c r="C7" s="28" t="s">
        <v>0</v>
      </c>
      <c r="D7" s="28" t="s">
        <v>1</v>
      </c>
      <c r="E7" s="28" t="s">
        <v>2</v>
      </c>
      <c r="F7" s="29" t="s">
        <v>40</v>
      </c>
      <c r="G7" s="16" t="s">
        <v>41</v>
      </c>
      <c r="H7" s="16" t="s">
        <v>36</v>
      </c>
      <c r="I7" s="18" t="s">
        <v>41</v>
      </c>
      <c r="J7" s="18" t="s">
        <v>36</v>
      </c>
      <c r="K7" s="14" t="s">
        <v>43</v>
      </c>
      <c r="L7" s="16" t="s">
        <v>42</v>
      </c>
      <c r="M7" s="18" t="s">
        <v>42</v>
      </c>
    </row>
    <row r="8" spans="1:13" x14ac:dyDescent="0.25">
      <c r="A8" s="37" t="s">
        <v>235</v>
      </c>
      <c r="B8" s="30"/>
      <c r="C8" s="2" t="s">
        <v>45</v>
      </c>
      <c r="D8" s="3" t="s">
        <v>3</v>
      </c>
      <c r="E8" s="3" t="s">
        <v>4</v>
      </c>
      <c r="F8" s="4">
        <v>491.15100000000007</v>
      </c>
      <c r="G8" s="31"/>
      <c r="H8" s="5">
        <f t="shared" ref="H8:H9" si="0">-(G8/F8)+1</f>
        <v>1</v>
      </c>
      <c r="I8" s="9">
        <f>F8*(1-J8)</f>
        <v>491.15100000000007</v>
      </c>
      <c r="J8" s="32"/>
      <c r="K8" s="6">
        <f>B8*F8</f>
        <v>0</v>
      </c>
      <c r="L8" s="33">
        <f t="shared" ref="L8:L13" si="1">B8*G8</f>
        <v>0</v>
      </c>
      <c r="M8" s="33">
        <f t="shared" ref="M8:M13" si="2">B8*I8</f>
        <v>0</v>
      </c>
    </row>
    <row r="9" spans="1:13" x14ac:dyDescent="0.25">
      <c r="A9" s="37" t="s">
        <v>235</v>
      </c>
      <c r="B9" s="30"/>
      <c r="C9" s="2" t="s">
        <v>45</v>
      </c>
      <c r="D9" s="3" t="s">
        <v>5</v>
      </c>
      <c r="E9" s="3" t="s">
        <v>6</v>
      </c>
      <c r="F9" s="4">
        <v>122.79040000000001</v>
      </c>
      <c r="G9" s="31"/>
      <c r="H9" s="5">
        <f t="shared" si="0"/>
        <v>1</v>
      </c>
      <c r="I9" s="9">
        <f t="shared" ref="I9:I13" si="3">F9*(1-J9)</f>
        <v>122.79040000000001</v>
      </c>
      <c r="J9" s="32"/>
      <c r="K9" s="6">
        <f t="shared" ref="K9" si="4">B9*F9</f>
        <v>0</v>
      </c>
      <c r="L9" s="33">
        <f t="shared" si="1"/>
        <v>0</v>
      </c>
      <c r="M9" s="33">
        <f t="shared" si="2"/>
        <v>0</v>
      </c>
    </row>
    <row r="10" spans="1:13" x14ac:dyDescent="0.25">
      <c r="A10" s="37" t="s">
        <v>235</v>
      </c>
      <c r="B10" s="30"/>
      <c r="C10" s="2" t="s">
        <v>46</v>
      </c>
      <c r="D10" s="3" t="s">
        <v>7</v>
      </c>
      <c r="E10" s="3" t="s">
        <v>4</v>
      </c>
      <c r="F10" s="4">
        <v>381.8014</v>
      </c>
      <c r="G10" s="31"/>
      <c r="H10" s="5">
        <f>-(G10/F10)+1</f>
        <v>1</v>
      </c>
      <c r="I10" s="9">
        <f t="shared" si="3"/>
        <v>381.8014</v>
      </c>
      <c r="J10" s="32"/>
      <c r="K10" s="6">
        <f>B10*F10</f>
        <v>0</v>
      </c>
      <c r="L10" s="33">
        <f t="shared" si="1"/>
        <v>0</v>
      </c>
      <c r="M10" s="33">
        <f t="shared" si="2"/>
        <v>0</v>
      </c>
    </row>
    <row r="11" spans="1:13" x14ac:dyDescent="0.25">
      <c r="A11" s="37" t="s">
        <v>235</v>
      </c>
      <c r="B11" s="30"/>
      <c r="C11" s="2" t="s">
        <v>46</v>
      </c>
      <c r="D11" s="3" t="s">
        <v>5</v>
      </c>
      <c r="E11" s="3" t="s">
        <v>6</v>
      </c>
      <c r="F11" s="4">
        <v>95.357600000000005</v>
      </c>
      <c r="G11" s="31"/>
      <c r="H11" s="5">
        <f t="shared" ref="H11:H13" si="5">-(G11/F11)+1</f>
        <v>1</v>
      </c>
      <c r="I11" s="9">
        <f t="shared" si="3"/>
        <v>95.357600000000005</v>
      </c>
      <c r="J11" s="32"/>
      <c r="K11" s="6">
        <f t="shared" ref="K11:K13" si="6">B11*F11</f>
        <v>0</v>
      </c>
      <c r="L11" s="33">
        <f t="shared" si="1"/>
        <v>0</v>
      </c>
      <c r="M11" s="33">
        <f t="shared" si="2"/>
        <v>0</v>
      </c>
    </row>
    <row r="12" spans="1:13" x14ac:dyDescent="0.25">
      <c r="A12" s="37" t="s">
        <v>235</v>
      </c>
      <c r="B12" s="30"/>
      <c r="C12" s="2" t="s">
        <v>51</v>
      </c>
      <c r="D12" s="3" t="s">
        <v>7</v>
      </c>
      <c r="E12" s="3" t="s">
        <v>52</v>
      </c>
      <c r="F12" s="4">
        <v>205.97919999999999</v>
      </c>
      <c r="G12" s="31"/>
      <c r="H12" s="5">
        <f t="shared" si="5"/>
        <v>1</v>
      </c>
      <c r="I12" s="9">
        <f t="shared" si="3"/>
        <v>205.97919999999999</v>
      </c>
      <c r="J12" s="32"/>
      <c r="K12" s="6">
        <f t="shared" si="6"/>
        <v>0</v>
      </c>
      <c r="L12" s="33">
        <f t="shared" si="1"/>
        <v>0</v>
      </c>
      <c r="M12" s="33">
        <f t="shared" si="2"/>
        <v>0</v>
      </c>
    </row>
    <row r="13" spans="1:13" x14ac:dyDescent="0.25">
      <c r="A13" s="37" t="s">
        <v>235</v>
      </c>
      <c r="B13" s="30"/>
      <c r="C13" s="2" t="s">
        <v>51</v>
      </c>
      <c r="D13" s="3" t="s">
        <v>5</v>
      </c>
      <c r="E13" s="3" t="s">
        <v>12</v>
      </c>
      <c r="F13" s="4">
        <v>51.494799999999998</v>
      </c>
      <c r="G13" s="31"/>
      <c r="H13" s="5">
        <f t="shared" si="5"/>
        <v>1</v>
      </c>
      <c r="I13" s="9">
        <f t="shared" si="3"/>
        <v>51.494799999999998</v>
      </c>
      <c r="J13" s="32"/>
      <c r="K13" s="6">
        <f t="shared" si="6"/>
        <v>0</v>
      </c>
      <c r="L13" s="33">
        <f t="shared" si="1"/>
        <v>0</v>
      </c>
      <c r="M13" s="33">
        <f t="shared" si="2"/>
        <v>0</v>
      </c>
    </row>
    <row r="14" spans="1:13" ht="18.75" x14ac:dyDescent="0.3">
      <c r="A14" s="37" t="s">
        <v>234</v>
      </c>
      <c r="B14" s="24">
        <v>0</v>
      </c>
      <c r="C14" s="13" t="s">
        <v>49</v>
      </c>
      <c r="D14" s="13"/>
      <c r="E14" s="13"/>
      <c r="F14" s="13"/>
      <c r="G14" s="13"/>
      <c r="H14" s="13"/>
      <c r="I14" s="13"/>
      <c r="J14" s="13"/>
      <c r="K14" s="13"/>
      <c r="L14" s="13"/>
      <c r="M14" s="23"/>
    </row>
    <row r="15" spans="1:13" ht="38.25" customHeight="1" x14ac:dyDescent="0.25">
      <c r="A15" s="37" t="s">
        <v>232</v>
      </c>
      <c r="B15" s="27" t="s">
        <v>35</v>
      </c>
      <c r="C15" s="28" t="s">
        <v>0</v>
      </c>
      <c r="D15" s="28" t="s">
        <v>1</v>
      </c>
      <c r="E15" s="28" t="s">
        <v>2</v>
      </c>
      <c r="F15" s="29" t="s">
        <v>40</v>
      </c>
      <c r="G15" s="16" t="s">
        <v>41</v>
      </c>
      <c r="H15" s="16" t="s">
        <v>36</v>
      </c>
      <c r="I15" s="18" t="s">
        <v>41</v>
      </c>
      <c r="J15" s="18" t="s">
        <v>36</v>
      </c>
      <c r="K15" s="14" t="s">
        <v>43</v>
      </c>
      <c r="L15" s="16" t="s">
        <v>42</v>
      </c>
      <c r="M15" s="18" t="s">
        <v>42</v>
      </c>
    </row>
    <row r="16" spans="1:13" ht="15.75" customHeight="1" x14ac:dyDescent="0.25">
      <c r="A16" s="37" t="s">
        <v>235</v>
      </c>
      <c r="B16" s="30"/>
      <c r="C16" s="2" t="s">
        <v>44</v>
      </c>
      <c r="D16" s="3" t="s">
        <v>3</v>
      </c>
      <c r="E16" s="3" t="s">
        <v>4</v>
      </c>
      <c r="F16" s="4">
        <v>427.71000000000004</v>
      </c>
      <c r="G16" s="31"/>
      <c r="H16" s="5">
        <f>-(G16/F16)+1</f>
        <v>1</v>
      </c>
      <c r="I16" s="9">
        <f t="shared" ref="I16:I21" si="7">F16*(1-J16)</f>
        <v>427.71000000000004</v>
      </c>
      <c r="J16" s="32"/>
      <c r="K16" s="6">
        <f>B16*F16</f>
        <v>0</v>
      </c>
      <c r="L16" s="33">
        <f t="shared" ref="L16:L21" si="8">B16*G16</f>
        <v>0</v>
      </c>
      <c r="M16" s="33">
        <f t="shared" ref="M16:M21" si="9">B16*I16</f>
        <v>0</v>
      </c>
    </row>
    <row r="17" spans="1:13" ht="15.75" customHeight="1" x14ac:dyDescent="0.25">
      <c r="A17" s="37" t="s">
        <v>235</v>
      </c>
      <c r="B17" s="30"/>
      <c r="C17" s="2" t="s">
        <v>44</v>
      </c>
      <c r="D17" s="3" t="s">
        <v>5</v>
      </c>
      <c r="E17" s="3" t="s">
        <v>6</v>
      </c>
      <c r="F17" s="4">
        <v>106.9328</v>
      </c>
      <c r="G17" s="31"/>
      <c r="H17" s="5">
        <f t="shared" ref="H17:H29" si="10">-(G17/F17)+1</f>
        <v>1</v>
      </c>
      <c r="I17" s="9">
        <f t="shared" si="7"/>
        <v>106.9328</v>
      </c>
      <c r="J17" s="32"/>
      <c r="K17" s="6">
        <f t="shared" ref="K17:K29" si="11">B17*F17</f>
        <v>0</v>
      </c>
      <c r="L17" s="33">
        <f t="shared" si="8"/>
        <v>0</v>
      </c>
      <c r="M17" s="33">
        <f t="shared" si="9"/>
        <v>0</v>
      </c>
    </row>
    <row r="18" spans="1:13" ht="15.75" customHeight="1" x14ac:dyDescent="0.25">
      <c r="A18" s="37" t="s">
        <v>235</v>
      </c>
      <c r="B18" s="30"/>
      <c r="C18" s="2" t="s">
        <v>47</v>
      </c>
      <c r="D18" s="3" t="s">
        <v>3</v>
      </c>
      <c r="E18" s="3" t="s">
        <v>4</v>
      </c>
      <c r="F18" s="4">
        <v>454.54920000000004</v>
      </c>
      <c r="G18" s="31"/>
      <c r="H18" s="5">
        <f t="shared" si="10"/>
        <v>1</v>
      </c>
      <c r="I18" s="9">
        <f t="shared" si="7"/>
        <v>454.54920000000004</v>
      </c>
      <c r="J18" s="32"/>
      <c r="K18" s="6">
        <f t="shared" si="11"/>
        <v>0</v>
      </c>
      <c r="L18" s="33">
        <f t="shared" si="8"/>
        <v>0</v>
      </c>
      <c r="M18" s="33">
        <f t="shared" si="9"/>
        <v>0</v>
      </c>
    </row>
    <row r="19" spans="1:13" ht="15.75" customHeight="1" x14ac:dyDescent="0.25">
      <c r="A19" s="37" t="s">
        <v>235</v>
      </c>
      <c r="B19" s="30"/>
      <c r="C19" s="2" t="s">
        <v>47</v>
      </c>
      <c r="D19" s="3" t="s">
        <v>5</v>
      </c>
      <c r="E19" s="3" t="s">
        <v>6</v>
      </c>
      <c r="F19" s="4">
        <v>113.6426</v>
      </c>
      <c r="G19" s="31"/>
      <c r="H19" s="5">
        <f t="shared" si="10"/>
        <v>1</v>
      </c>
      <c r="I19" s="9">
        <f t="shared" si="7"/>
        <v>113.6426</v>
      </c>
      <c r="J19" s="32"/>
      <c r="K19" s="6">
        <f t="shared" si="11"/>
        <v>0</v>
      </c>
      <c r="L19" s="33">
        <f t="shared" si="8"/>
        <v>0</v>
      </c>
      <c r="M19" s="33">
        <f t="shared" si="9"/>
        <v>0</v>
      </c>
    </row>
    <row r="20" spans="1:13" ht="15.75" customHeight="1" x14ac:dyDescent="0.25">
      <c r="A20" s="37" t="s">
        <v>235</v>
      </c>
      <c r="B20" s="30"/>
      <c r="C20" s="2" t="s">
        <v>48</v>
      </c>
      <c r="D20" s="3" t="s">
        <v>3</v>
      </c>
      <c r="E20" s="3" t="s">
        <v>4</v>
      </c>
      <c r="F20" s="4">
        <v>478.59000000000003</v>
      </c>
      <c r="G20" s="31"/>
      <c r="H20" s="5">
        <f t="shared" si="10"/>
        <v>1</v>
      </c>
      <c r="I20" s="9">
        <f t="shared" si="7"/>
        <v>478.59000000000003</v>
      </c>
      <c r="J20" s="32"/>
      <c r="K20" s="6">
        <f t="shared" si="11"/>
        <v>0</v>
      </c>
      <c r="L20" s="33">
        <f t="shared" si="8"/>
        <v>0</v>
      </c>
      <c r="M20" s="33">
        <f t="shared" si="9"/>
        <v>0</v>
      </c>
    </row>
    <row r="21" spans="1:13" ht="15.75" customHeight="1" x14ac:dyDescent="0.25">
      <c r="A21" s="37" t="s">
        <v>235</v>
      </c>
      <c r="B21" s="30"/>
      <c r="C21" s="2" t="s">
        <v>48</v>
      </c>
      <c r="D21" s="3" t="s">
        <v>5</v>
      </c>
      <c r="E21" s="3" t="s">
        <v>6</v>
      </c>
      <c r="F21" s="4">
        <v>119.6528</v>
      </c>
      <c r="G21" s="31"/>
      <c r="H21" s="5">
        <f t="shared" si="10"/>
        <v>1</v>
      </c>
      <c r="I21" s="9">
        <f t="shared" si="7"/>
        <v>119.6528</v>
      </c>
      <c r="J21" s="32"/>
      <c r="K21" s="6">
        <f t="shared" si="11"/>
        <v>0</v>
      </c>
      <c r="L21" s="33">
        <f t="shared" si="8"/>
        <v>0</v>
      </c>
      <c r="M21" s="33">
        <f t="shared" si="9"/>
        <v>0</v>
      </c>
    </row>
    <row r="22" spans="1:13" ht="18.75" x14ac:dyDescent="0.3">
      <c r="A22" s="37" t="s">
        <v>234</v>
      </c>
      <c r="B22" s="24">
        <v>0</v>
      </c>
      <c r="C22" s="13" t="s">
        <v>50</v>
      </c>
      <c r="D22" s="13"/>
      <c r="E22" s="13"/>
      <c r="F22" s="13"/>
      <c r="G22" s="13"/>
      <c r="H22" s="13"/>
      <c r="I22" s="13"/>
      <c r="J22" s="13"/>
      <c r="K22" s="13"/>
      <c r="L22" s="13"/>
      <c r="M22" s="23"/>
    </row>
    <row r="23" spans="1:13" ht="38.25" customHeight="1" x14ac:dyDescent="0.25">
      <c r="A23" s="37" t="s">
        <v>232</v>
      </c>
      <c r="B23" s="27" t="s">
        <v>35</v>
      </c>
      <c r="C23" s="28" t="s">
        <v>0</v>
      </c>
      <c r="D23" s="28" t="s">
        <v>1</v>
      </c>
      <c r="E23" s="28" t="s">
        <v>2</v>
      </c>
      <c r="F23" s="29" t="s">
        <v>40</v>
      </c>
      <c r="G23" s="16" t="s">
        <v>41</v>
      </c>
      <c r="H23" s="16" t="s">
        <v>36</v>
      </c>
      <c r="I23" s="18" t="s">
        <v>41</v>
      </c>
      <c r="J23" s="18" t="s">
        <v>36</v>
      </c>
      <c r="K23" s="14" t="s">
        <v>43</v>
      </c>
      <c r="L23" s="16" t="s">
        <v>42</v>
      </c>
      <c r="M23" s="18" t="s">
        <v>42</v>
      </c>
    </row>
    <row r="24" spans="1:13" ht="15.75" customHeight="1" x14ac:dyDescent="0.25">
      <c r="A24" s="37" t="s">
        <v>235</v>
      </c>
      <c r="B24" s="30"/>
      <c r="C24" s="2" t="s">
        <v>54</v>
      </c>
      <c r="D24" s="3" t="s">
        <v>7</v>
      </c>
      <c r="E24" s="3" t="s">
        <v>4</v>
      </c>
      <c r="F24" s="4">
        <v>289.56</v>
      </c>
      <c r="G24" s="31"/>
      <c r="H24" s="5">
        <f t="shared" si="10"/>
        <v>1</v>
      </c>
      <c r="I24" s="9">
        <f t="shared" ref="I24:I29" si="12">F24*(1-J24)</f>
        <v>289.56</v>
      </c>
      <c r="J24" s="32"/>
      <c r="K24" s="6">
        <f t="shared" si="11"/>
        <v>0</v>
      </c>
      <c r="L24" s="33">
        <f t="shared" ref="L24:L29" si="13">B24*G24</f>
        <v>0</v>
      </c>
      <c r="M24" s="33">
        <f t="shared" ref="M24:M29" si="14">B24*I24</f>
        <v>0</v>
      </c>
    </row>
    <row r="25" spans="1:13" ht="15.75" customHeight="1" x14ac:dyDescent="0.25">
      <c r="A25" s="37" t="s">
        <v>235</v>
      </c>
      <c r="B25" s="30"/>
      <c r="C25" s="2" t="s">
        <v>54</v>
      </c>
      <c r="D25" s="3" t="s">
        <v>5</v>
      </c>
      <c r="E25" s="3" t="s">
        <v>6</v>
      </c>
      <c r="F25" s="4">
        <v>72.400000000000006</v>
      </c>
      <c r="G25" s="31"/>
      <c r="H25" s="5">
        <f t="shared" si="10"/>
        <v>1</v>
      </c>
      <c r="I25" s="9">
        <f t="shared" si="12"/>
        <v>72.400000000000006</v>
      </c>
      <c r="J25" s="32"/>
      <c r="K25" s="6">
        <f t="shared" si="11"/>
        <v>0</v>
      </c>
      <c r="L25" s="33">
        <f t="shared" si="13"/>
        <v>0</v>
      </c>
      <c r="M25" s="33">
        <f t="shared" si="14"/>
        <v>0</v>
      </c>
    </row>
    <row r="26" spans="1:13" ht="15.75" customHeight="1" x14ac:dyDescent="0.25">
      <c r="A26" s="37" t="s">
        <v>235</v>
      </c>
      <c r="B26" s="30"/>
      <c r="C26" s="2" t="s">
        <v>55</v>
      </c>
      <c r="D26" s="3" t="s">
        <v>7</v>
      </c>
      <c r="E26" s="3" t="s">
        <v>4</v>
      </c>
      <c r="F26" s="4">
        <v>236.48</v>
      </c>
      <c r="G26" s="31"/>
      <c r="H26" s="5">
        <f t="shared" si="10"/>
        <v>1</v>
      </c>
      <c r="I26" s="9">
        <f t="shared" si="12"/>
        <v>236.48</v>
      </c>
      <c r="J26" s="32"/>
      <c r="K26" s="6">
        <f t="shared" si="11"/>
        <v>0</v>
      </c>
      <c r="L26" s="33">
        <f t="shared" si="13"/>
        <v>0</v>
      </c>
      <c r="M26" s="33">
        <f t="shared" si="14"/>
        <v>0</v>
      </c>
    </row>
    <row r="27" spans="1:13" ht="15.75" customHeight="1" x14ac:dyDescent="0.25">
      <c r="A27" s="37" t="s">
        <v>235</v>
      </c>
      <c r="B27" s="30"/>
      <c r="C27" s="2" t="s">
        <v>55</v>
      </c>
      <c r="D27" s="3" t="s">
        <v>5</v>
      </c>
      <c r="E27" s="3" t="s">
        <v>6</v>
      </c>
      <c r="F27" s="4">
        <v>59.12</v>
      </c>
      <c r="G27" s="31"/>
      <c r="H27" s="5">
        <f t="shared" si="10"/>
        <v>1</v>
      </c>
      <c r="I27" s="9">
        <f t="shared" si="12"/>
        <v>59.12</v>
      </c>
      <c r="J27" s="32"/>
      <c r="K27" s="6">
        <f t="shared" si="11"/>
        <v>0</v>
      </c>
      <c r="L27" s="33">
        <f t="shared" si="13"/>
        <v>0</v>
      </c>
      <c r="M27" s="33">
        <f t="shared" si="14"/>
        <v>0</v>
      </c>
    </row>
    <row r="28" spans="1:13" ht="15.75" customHeight="1" x14ac:dyDescent="0.25">
      <c r="A28" s="37" t="s">
        <v>235</v>
      </c>
      <c r="B28" s="30"/>
      <c r="C28" s="2" t="s">
        <v>56</v>
      </c>
      <c r="D28" s="3" t="s">
        <v>7</v>
      </c>
      <c r="E28" s="3" t="s">
        <v>4</v>
      </c>
      <c r="F28" s="4">
        <v>337.55</v>
      </c>
      <c r="G28" s="31"/>
      <c r="H28" s="5">
        <f t="shared" si="10"/>
        <v>1</v>
      </c>
      <c r="I28" s="9">
        <f t="shared" si="12"/>
        <v>337.55</v>
      </c>
      <c r="J28" s="32"/>
      <c r="K28" s="6">
        <f t="shared" si="11"/>
        <v>0</v>
      </c>
      <c r="L28" s="33">
        <f t="shared" si="13"/>
        <v>0</v>
      </c>
      <c r="M28" s="33">
        <f t="shared" si="14"/>
        <v>0</v>
      </c>
    </row>
    <row r="29" spans="1:13" ht="15.75" customHeight="1" x14ac:dyDescent="0.25">
      <c r="A29" s="37" t="s">
        <v>235</v>
      </c>
      <c r="B29" s="30"/>
      <c r="C29" s="2" t="s">
        <v>56</v>
      </c>
      <c r="D29" s="3" t="s">
        <v>5</v>
      </c>
      <c r="E29" s="3" t="s">
        <v>6</v>
      </c>
      <c r="F29" s="4">
        <v>84.39</v>
      </c>
      <c r="G29" s="31"/>
      <c r="H29" s="5">
        <f t="shared" si="10"/>
        <v>1</v>
      </c>
      <c r="I29" s="9">
        <f t="shared" si="12"/>
        <v>84.39</v>
      </c>
      <c r="J29" s="32"/>
      <c r="K29" s="6">
        <f t="shared" si="11"/>
        <v>0</v>
      </c>
      <c r="L29" s="33">
        <f t="shared" si="13"/>
        <v>0</v>
      </c>
      <c r="M29" s="33">
        <f t="shared" si="14"/>
        <v>0</v>
      </c>
    </row>
    <row r="30" spans="1:13" ht="18.75" x14ac:dyDescent="0.3">
      <c r="A30" s="37" t="s">
        <v>234</v>
      </c>
      <c r="B30" s="24">
        <v>0</v>
      </c>
      <c r="C30" s="13" t="s">
        <v>57</v>
      </c>
      <c r="D30" s="13"/>
      <c r="E30" s="13"/>
      <c r="F30" s="13"/>
      <c r="G30" s="13"/>
      <c r="H30" s="13"/>
      <c r="I30" s="13"/>
      <c r="J30" s="13"/>
      <c r="K30" s="13"/>
      <c r="L30" s="13"/>
      <c r="M30" s="23"/>
    </row>
    <row r="31" spans="1:13" ht="38.25" customHeight="1" x14ac:dyDescent="0.25">
      <c r="A31" s="37" t="s">
        <v>232</v>
      </c>
      <c r="B31" s="27" t="s">
        <v>35</v>
      </c>
      <c r="C31" s="28" t="s">
        <v>0</v>
      </c>
      <c r="D31" s="28" t="s">
        <v>1</v>
      </c>
      <c r="E31" s="28" t="s">
        <v>2</v>
      </c>
      <c r="F31" s="29" t="s">
        <v>40</v>
      </c>
      <c r="G31" s="16" t="s">
        <v>41</v>
      </c>
      <c r="H31" s="16" t="s">
        <v>36</v>
      </c>
      <c r="I31" s="18" t="s">
        <v>41</v>
      </c>
      <c r="J31" s="18" t="s">
        <v>36</v>
      </c>
      <c r="K31" s="14" t="s">
        <v>43</v>
      </c>
      <c r="L31" s="16" t="s">
        <v>42</v>
      </c>
      <c r="M31" s="18" t="s">
        <v>42</v>
      </c>
    </row>
    <row r="32" spans="1:13" ht="15.75" customHeight="1" x14ac:dyDescent="0.25">
      <c r="A32" s="37" t="s">
        <v>235</v>
      </c>
      <c r="B32" s="30"/>
      <c r="C32" s="2" t="s">
        <v>59</v>
      </c>
      <c r="D32" s="3" t="s">
        <v>7</v>
      </c>
      <c r="E32" s="3" t="s">
        <v>4</v>
      </c>
      <c r="F32" s="4">
        <v>222.67</v>
      </c>
      <c r="G32" s="31"/>
      <c r="H32" s="5">
        <f t="shared" ref="H32:H37" si="15">-(G32/F32)+1</f>
        <v>1</v>
      </c>
      <c r="I32" s="9">
        <f t="shared" ref="I32:I37" si="16">F32*(1-J32)</f>
        <v>222.67</v>
      </c>
      <c r="J32" s="32"/>
      <c r="K32" s="6">
        <f t="shared" ref="K32:K37" si="17">B32*F32</f>
        <v>0</v>
      </c>
      <c r="L32" s="33">
        <f t="shared" ref="L32:L37" si="18">B32*G32</f>
        <v>0</v>
      </c>
      <c r="M32" s="33">
        <f t="shared" ref="M32:M37" si="19">B32*I32</f>
        <v>0</v>
      </c>
    </row>
    <row r="33" spans="1:13" ht="15.75" customHeight="1" x14ac:dyDescent="0.25">
      <c r="A33" s="37" t="s">
        <v>235</v>
      </c>
      <c r="B33" s="30"/>
      <c r="C33" s="2" t="s">
        <v>222</v>
      </c>
      <c r="D33" s="3" t="s">
        <v>5</v>
      </c>
      <c r="E33" s="3" t="s">
        <v>6</v>
      </c>
      <c r="F33" s="4">
        <v>56.74</v>
      </c>
      <c r="G33" s="31"/>
      <c r="H33" s="5">
        <f t="shared" si="15"/>
        <v>1</v>
      </c>
      <c r="I33" s="9">
        <f t="shared" si="16"/>
        <v>56.74</v>
      </c>
      <c r="J33" s="32"/>
      <c r="K33" s="6">
        <f t="shared" si="17"/>
        <v>0</v>
      </c>
      <c r="L33" s="33">
        <f t="shared" si="18"/>
        <v>0</v>
      </c>
      <c r="M33" s="33">
        <f t="shared" si="19"/>
        <v>0</v>
      </c>
    </row>
    <row r="34" spans="1:13" ht="15.75" customHeight="1" x14ac:dyDescent="0.25">
      <c r="A34" s="37" t="s">
        <v>235</v>
      </c>
      <c r="B34" s="30"/>
      <c r="C34" s="2" t="s">
        <v>58</v>
      </c>
      <c r="D34" s="3" t="s">
        <v>7</v>
      </c>
      <c r="E34" s="3" t="s">
        <v>4</v>
      </c>
      <c r="F34" s="4">
        <v>148.09</v>
      </c>
      <c r="G34" s="31"/>
      <c r="H34" s="5">
        <f t="shared" si="15"/>
        <v>1</v>
      </c>
      <c r="I34" s="9">
        <f t="shared" si="16"/>
        <v>148.09</v>
      </c>
      <c r="J34" s="32"/>
      <c r="K34" s="6">
        <f t="shared" si="17"/>
        <v>0</v>
      </c>
      <c r="L34" s="33">
        <f t="shared" si="18"/>
        <v>0</v>
      </c>
      <c r="M34" s="33">
        <f t="shared" si="19"/>
        <v>0</v>
      </c>
    </row>
    <row r="35" spans="1:13" ht="15.75" customHeight="1" x14ac:dyDescent="0.25">
      <c r="A35" s="37" t="s">
        <v>235</v>
      </c>
      <c r="B35" s="30"/>
      <c r="C35" s="2" t="s">
        <v>58</v>
      </c>
      <c r="D35" s="3" t="s">
        <v>5</v>
      </c>
      <c r="E35" s="3" t="s">
        <v>6</v>
      </c>
      <c r="F35" s="4">
        <v>37.020000000000003</v>
      </c>
      <c r="G35" s="31"/>
      <c r="H35" s="5">
        <f t="shared" si="15"/>
        <v>1</v>
      </c>
      <c r="I35" s="9">
        <f t="shared" si="16"/>
        <v>37.020000000000003</v>
      </c>
      <c r="J35" s="32"/>
      <c r="K35" s="6">
        <f t="shared" si="17"/>
        <v>0</v>
      </c>
      <c r="L35" s="33">
        <f t="shared" si="18"/>
        <v>0</v>
      </c>
      <c r="M35" s="33">
        <f t="shared" si="19"/>
        <v>0</v>
      </c>
    </row>
    <row r="36" spans="1:13" ht="15.75" customHeight="1" x14ac:dyDescent="0.25">
      <c r="A36" s="37" t="s">
        <v>235</v>
      </c>
      <c r="B36" s="30"/>
      <c r="C36" s="2" t="s">
        <v>60</v>
      </c>
      <c r="D36" s="3" t="s">
        <v>7</v>
      </c>
      <c r="E36" s="3" t="s">
        <v>38</v>
      </c>
      <c r="F36" s="4">
        <v>129.57</v>
      </c>
      <c r="G36" s="31"/>
      <c r="H36" s="5">
        <f t="shared" si="15"/>
        <v>1</v>
      </c>
      <c r="I36" s="9">
        <f t="shared" si="16"/>
        <v>129.57</v>
      </c>
      <c r="J36" s="32"/>
      <c r="K36" s="6">
        <f t="shared" si="17"/>
        <v>0</v>
      </c>
      <c r="L36" s="33">
        <f t="shared" si="18"/>
        <v>0</v>
      </c>
      <c r="M36" s="33">
        <f t="shared" si="19"/>
        <v>0</v>
      </c>
    </row>
    <row r="37" spans="1:13" ht="15.75" customHeight="1" x14ac:dyDescent="0.25">
      <c r="A37" s="37" t="s">
        <v>235</v>
      </c>
      <c r="B37" s="30"/>
      <c r="C37" s="2" t="s">
        <v>60</v>
      </c>
      <c r="D37" s="3" t="s">
        <v>5</v>
      </c>
      <c r="E37" s="3" t="s">
        <v>188</v>
      </c>
      <c r="F37" s="4">
        <v>32.39</v>
      </c>
      <c r="G37" s="31"/>
      <c r="H37" s="5">
        <f t="shared" si="15"/>
        <v>1</v>
      </c>
      <c r="I37" s="9">
        <f t="shared" si="16"/>
        <v>32.39</v>
      </c>
      <c r="J37" s="32"/>
      <c r="K37" s="6">
        <f t="shared" si="17"/>
        <v>0</v>
      </c>
      <c r="L37" s="33">
        <f t="shared" si="18"/>
        <v>0</v>
      </c>
      <c r="M37" s="33">
        <f t="shared" si="19"/>
        <v>0</v>
      </c>
    </row>
    <row r="38" spans="1:13" ht="18.75" x14ac:dyDescent="0.3">
      <c r="A38" s="37" t="s">
        <v>234</v>
      </c>
      <c r="B38" s="24">
        <v>0</v>
      </c>
      <c r="C38" s="13" t="s">
        <v>61</v>
      </c>
      <c r="D38" s="13"/>
      <c r="E38" s="13"/>
      <c r="F38" s="13"/>
      <c r="G38" s="13"/>
      <c r="H38" s="13"/>
      <c r="I38" s="13"/>
      <c r="J38" s="13"/>
      <c r="K38" s="13"/>
      <c r="L38" s="13"/>
      <c r="M38" s="23"/>
    </row>
    <row r="39" spans="1:13" ht="38.25" customHeight="1" x14ac:dyDescent="0.25">
      <c r="A39" s="37" t="s">
        <v>232</v>
      </c>
      <c r="B39" s="27" t="s">
        <v>35</v>
      </c>
      <c r="C39" s="28" t="s">
        <v>0</v>
      </c>
      <c r="D39" s="28" t="s">
        <v>1</v>
      </c>
      <c r="E39" s="28" t="s">
        <v>2</v>
      </c>
      <c r="F39" s="29" t="s">
        <v>40</v>
      </c>
      <c r="G39" s="16" t="s">
        <v>41</v>
      </c>
      <c r="H39" s="16" t="s">
        <v>36</v>
      </c>
      <c r="I39" s="18" t="s">
        <v>41</v>
      </c>
      <c r="J39" s="18" t="s">
        <v>36</v>
      </c>
      <c r="K39" s="14" t="s">
        <v>43</v>
      </c>
      <c r="L39" s="16" t="s">
        <v>42</v>
      </c>
      <c r="M39" s="18" t="s">
        <v>42</v>
      </c>
    </row>
    <row r="40" spans="1:13" ht="15.75" customHeight="1" x14ac:dyDescent="0.25">
      <c r="A40" s="37" t="s">
        <v>235</v>
      </c>
      <c r="B40" s="30"/>
      <c r="C40" s="2" t="s">
        <v>62</v>
      </c>
      <c r="D40" s="3" t="s">
        <v>7</v>
      </c>
      <c r="E40" s="3" t="s">
        <v>8</v>
      </c>
      <c r="F40" s="4">
        <v>108.54</v>
      </c>
      <c r="G40" s="31"/>
      <c r="H40" s="5">
        <f t="shared" ref="H40:H61" si="20">-(G40/F40)+1</f>
        <v>1</v>
      </c>
      <c r="I40" s="9">
        <f t="shared" ref="I40:I61" si="21">F40*(1-J40)</f>
        <v>108.54</v>
      </c>
      <c r="J40" s="32"/>
      <c r="K40" s="6">
        <f t="shared" ref="K40:K61" si="22">B40*F40</f>
        <v>0</v>
      </c>
      <c r="L40" s="33">
        <f t="shared" ref="L40:L61" si="23">B40*G40</f>
        <v>0</v>
      </c>
      <c r="M40" s="33">
        <f t="shared" ref="M40:M61" si="24">B40*I40</f>
        <v>0</v>
      </c>
    </row>
    <row r="41" spans="1:13" ht="15.75" customHeight="1" x14ac:dyDescent="0.25">
      <c r="A41" s="37" t="s">
        <v>235</v>
      </c>
      <c r="B41" s="30"/>
      <c r="C41" s="2" t="s">
        <v>62</v>
      </c>
      <c r="D41" s="3" t="s">
        <v>20</v>
      </c>
      <c r="E41" s="3" t="s">
        <v>8</v>
      </c>
      <c r="F41" s="4">
        <v>99.29</v>
      </c>
      <c r="G41" s="31"/>
      <c r="H41" s="5">
        <f t="shared" si="20"/>
        <v>1</v>
      </c>
      <c r="I41" s="9">
        <f t="shared" si="21"/>
        <v>99.29</v>
      </c>
      <c r="J41" s="32"/>
      <c r="K41" s="6">
        <f t="shared" si="22"/>
        <v>0</v>
      </c>
      <c r="L41" s="33">
        <f t="shared" si="23"/>
        <v>0</v>
      </c>
      <c r="M41" s="33">
        <f t="shared" si="24"/>
        <v>0</v>
      </c>
    </row>
    <row r="42" spans="1:13" ht="15.75" customHeight="1" x14ac:dyDescent="0.25">
      <c r="A42" s="37" t="s">
        <v>235</v>
      </c>
      <c r="B42" s="30"/>
      <c r="C42" s="2" t="s">
        <v>62</v>
      </c>
      <c r="D42" s="3" t="s">
        <v>20</v>
      </c>
      <c r="E42" s="3" t="s">
        <v>9</v>
      </c>
      <c r="F42" s="4">
        <v>77.180000000000007</v>
      </c>
      <c r="G42" s="31"/>
      <c r="H42" s="5">
        <f t="shared" si="20"/>
        <v>1</v>
      </c>
      <c r="I42" s="9">
        <f t="shared" si="21"/>
        <v>77.180000000000007</v>
      </c>
      <c r="J42" s="32"/>
      <c r="K42" s="6">
        <f t="shared" si="22"/>
        <v>0</v>
      </c>
      <c r="L42" s="33">
        <f t="shared" si="23"/>
        <v>0</v>
      </c>
      <c r="M42" s="33">
        <f t="shared" si="24"/>
        <v>0</v>
      </c>
    </row>
    <row r="43" spans="1:13" ht="15.75" customHeight="1" x14ac:dyDescent="0.25">
      <c r="A43" s="37" t="s">
        <v>235</v>
      </c>
      <c r="B43" s="30"/>
      <c r="C43" s="2" t="s">
        <v>63</v>
      </c>
      <c r="D43" s="3" t="s">
        <v>20</v>
      </c>
      <c r="E43" s="3" t="s">
        <v>8</v>
      </c>
      <c r="F43" s="7">
        <v>136.63</v>
      </c>
      <c r="G43" s="31"/>
      <c r="H43" s="5">
        <f t="shared" si="20"/>
        <v>1</v>
      </c>
      <c r="I43" s="9">
        <f t="shared" si="21"/>
        <v>136.63</v>
      </c>
      <c r="J43" s="32"/>
      <c r="K43" s="6">
        <f t="shared" si="22"/>
        <v>0</v>
      </c>
      <c r="L43" s="33">
        <f t="shared" si="23"/>
        <v>0</v>
      </c>
      <c r="M43" s="33">
        <f t="shared" si="24"/>
        <v>0</v>
      </c>
    </row>
    <row r="44" spans="1:13" ht="15.75" customHeight="1" x14ac:dyDescent="0.25">
      <c r="A44" s="37" t="s">
        <v>235</v>
      </c>
      <c r="B44" s="30"/>
      <c r="C44" s="2" t="s">
        <v>63</v>
      </c>
      <c r="D44" s="3" t="s">
        <v>20</v>
      </c>
      <c r="E44" s="3" t="s">
        <v>9</v>
      </c>
      <c r="F44" s="7">
        <v>109.23</v>
      </c>
      <c r="G44" s="31"/>
      <c r="H44" s="5">
        <f t="shared" si="20"/>
        <v>1</v>
      </c>
      <c r="I44" s="9">
        <f t="shared" si="21"/>
        <v>109.23</v>
      </c>
      <c r="J44" s="32"/>
      <c r="K44" s="6">
        <f t="shared" si="22"/>
        <v>0</v>
      </c>
      <c r="L44" s="33">
        <f t="shared" si="23"/>
        <v>0</v>
      </c>
      <c r="M44" s="33">
        <f t="shared" si="24"/>
        <v>0</v>
      </c>
    </row>
    <row r="45" spans="1:13" ht="15.75" customHeight="1" x14ac:dyDescent="0.25">
      <c r="A45" s="37" t="s">
        <v>235</v>
      </c>
      <c r="B45" s="30"/>
      <c r="C45" s="2" t="s">
        <v>64</v>
      </c>
      <c r="D45" s="3" t="s">
        <v>7</v>
      </c>
      <c r="E45" s="3" t="s">
        <v>8</v>
      </c>
      <c r="F45" s="7">
        <v>127.09</v>
      </c>
      <c r="G45" s="31"/>
      <c r="H45" s="5">
        <f t="shared" si="20"/>
        <v>1</v>
      </c>
      <c r="I45" s="9">
        <f t="shared" si="21"/>
        <v>127.09</v>
      </c>
      <c r="J45" s="32"/>
      <c r="K45" s="6">
        <f t="shared" si="22"/>
        <v>0</v>
      </c>
      <c r="L45" s="33">
        <f t="shared" si="23"/>
        <v>0</v>
      </c>
      <c r="M45" s="33">
        <f t="shared" si="24"/>
        <v>0</v>
      </c>
    </row>
    <row r="46" spans="1:13" ht="15.75" customHeight="1" x14ac:dyDescent="0.25">
      <c r="A46" s="37" t="s">
        <v>235</v>
      </c>
      <c r="B46" s="30"/>
      <c r="C46" s="2" t="s">
        <v>64</v>
      </c>
      <c r="D46" s="3" t="s">
        <v>20</v>
      </c>
      <c r="E46" s="3" t="s">
        <v>8</v>
      </c>
      <c r="F46" s="7">
        <v>109.23</v>
      </c>
      <c r="G46" s="31"/>
      <c r="H46" s="5">
        <f t="shared" si="20"/>
        <v>1</v>
      </c>
      <c r="I46" s="9">
        <f t="shared" si="21"/>
        <v>109.23</v>
      </c>
      <c r="J46" s="32"/>
      <c r="K46" s="6">
        <f t="shared" si="22"/>
        <v>0</v>
      </c>
      <c r="L46" s="33">
        <f t="shared" si="23"/>
        <v>0</v>
      </c>
      <c r="M46" s="33">
        <f t="shared" si="24"/>
        <v>0</v>
      </c>
    </row>
    <row r="47" spans="1:13" ht="15.75" customHeight="1" x14ac:dyDescent="0.25">
      <c r="A47" s="37" t="s">
        <v>235</v>
      </c>
      <c r="B47" s="30"/>
      <c r="C47" s="2" t="s">
        <v>64</v>
      </c>
      <c r="D47" s="3" t="s">
        <v>20</v>
      </c>
      <c r="E47" s="3" t="s">
        <v>9</v>
      </c>
      <c r="F47" s="7">
        <v>84.9</v>
      </c>
      <c r="G47" s="31"/>
      <c r="H47" s="5">
        <f t="shared" si="20"/>
        <v>1</v>
      </c>
      <c r="I47" s="9">
        <f t="shared" si="21"/>
        <v>84.9</v>
      </c>
      <c r="J47" s="32"/>
      <c r="K47" s="6">
        <f t="shared" si="22"/>
        <v>0</v>
      </c>
      <c r="L47" s="33">
        <f t="shared" si="23"/>
        <v>0</v>
      </c>
      <c r="M47" s="33">
        <f t="shared" si="24"/>
        <v>0</v>
      </c>
    </row>
    <row r="48" spans="1:13" ht="15.75" customHeight="1" x14ac:dyDescent="0.25">
      <c r="A48" s="37" t="s">
        <v>235</v>
      </c>
      <c r="B48" s="30"/>
      <c r="C48" s="2" t="s">
        <v>223</v>
      </c>
      <c r="D48" s="3" t="s">
        <v>7</v>
      </c>
      <c r="E48" s="3" t="s">
        <v>8</v>
      </c>
      <c r="F48" s="7">
        <v>183.14</v>
      </c>
      <c r="G48" s="31"/>
      <c r="H48" s="5">
        <f t="shared" si="20"/>
        <v>1</v>
      </c>
      <c r="I48" s="9">
        <f t="shared" si="21"/>
        <v>183.14</v>
      </c>
      <c r="J48" s="32"/>
      <c r="K48" s="6">
        <f t="shared" si="22"/>
        <v>0</v>
      </c>
      <c r="L48" s="33">
        <f t="shared" si="23"/>
        <v>0</v>
      </c>
      <c r="M48" s="33">
        <f t="shared" si="24"/>
        <v>0</v>
      </c>
    </row>
    <row r="49" spans="1:13" ht="15.75" customHeight="1" x14ac:dyDescent="0.25">
      <c r="A49" s="37" t="s">
        <v>235</v>
      </c>
      <c r="B49" s="30"/>
      <c r="C49" s="2" t="s">
        <v>223</v>
      </c>
      <c r="D49" s="3" t="s">
        <v>20</v>
      </c>
      <c r="E49" s="3" t="s">
        <v>8</v>
      </c>
      <c r="F49" s="7">
        <v>179.85</v>
      </c>
      <c r="G49" s="31"/>
      <c r="H49" s="5">
        <f t="shared" si="20"/>
        <v>1</v>
      </c>
      <c r="I49" s="9">
        <f t="shared" si="21"/>
        <v>179.85</v>
      </c>
      <c r="J49" s="32"/>
      <c r="K49" s="6">
        <f t="shared" si="22"/>
        <v>0</v>
      </c>
      <c r="L49" s="33">
        <f t="shared" si="23"/>
        <v>0</v>
      </c>
      <c r="M49" s="33">
        <f t="shared" si="24"/>
        <v>0</v>
      </c>
    </row>
    <row r="50" spans="1:13" ht="15.75" customHeight="1" x14ac:dyDescent="0.25">
      <c r="A50" s="37" t="s">
        <v>235</v>
      </c>
      <c r="B50" s="30"/>
      <c r="C50" s="2" t="s">
        <v>224</v>
      </c>
      <c r="D50" s="3" t="s">
        <v>7</v>
      </c>
      <c r="E50" s="3" t="s">
        <v>8</v>
      </c>
      <c r="F50" s="7">
        <v>219.76</v>
      </c>
      <c r="G50" s="31"/>
      <c r="H50" s="5">
        <f t="shared" si="20"/>
        <v>1</v>
      </c>
      <c r="I50" s="9">
        <f t="shared" si="21"/>
        <v>219.76</v>
      </c>
      <c r="J50" s="32"/>
      <c r="K50" s="6">
        <f t="shared" si="22"/>
        <v>0</v>
      </c>
      <c r="L50" s="33">
        <f t="shared" si="23"/>
        <v>0</v>
      </c>
      <c r="M50" s="33">
        <f t="shared" si="24"/>
        <v>0</v>
      </c>
    </row>
    <row r="51" spans="1:13" ht="15.75" customHeight="1" x14ac:dyDescent="0.25">
      <c r="A51" s="37" t="s">
        <v>235</v>
      </c>
      <c r="B51" s="30"/>
      <c r="C51" s="2" t="s">
        <v>224</v>
      </c>
      <c r="D51" s="3" t="s">
        <v>20</v>
      </c>
      <c r="E51" s="3" t="s">
        <v>8</v>
      </c>
      <c r="F51" s="7">
        <v>215.82</v>
      </c>
      <c r="G51" s="31"/>
      <c r="H51" s="5">
        <f t="shared" si="20"/>
        <v>1</v>
      </c>
      <c r="I51" s="9">
        <f t="shared" si="21"/>
        <v>215.82</v>
      </c>
      <c r="J51" s="32"/>
      <c r="K51" s="6">
        <f t="shared" si="22"/>
        <v>0</v>
      </c>
      <c r="L51" s="33">
        <f t="shared" si="23"/>
        <v>0</v>
      </c>
      <c r="M51" s="33">
        <f t="shared" si="24"/>
        <v>0</v>
      </c>
    </row>
    <row r="52" spans="1:13" ht="15.75" customHeight="1" x14ac:dyDescent="0.25">
      <c r="A52" s="37" t="s">
        <v>235</v>
      </c>
      <c r="B52" s="30"/>
      <c r="C52" s="2" t="s">
        <v>65</v>
      </c>
      <c r="D52" s="3" t="s">
        <v>7</v>
      </c>
      <c r="E52" s="3" t="s">
        <v>8</v>
      </c>
      <c r="F52" s="7">
        <v>111.18340000000001</v>
      </c>
      <c r="G52" s="31"/>
      <c r="H52" s="5">
        <f t="shared" si="20"/>
        <v>1</v>
      </c>
      <c r="I52" s="9">
        <f t="shared" si="21"/>
        <v>111.18340000000001</v>
      </c>
      <c r="J52" s="32"/>
      <c r="K52" s="6">
        <f t="shared" si="22"/>
        <v>0</v>
      </c>
      <c r="L52" s="33">
        <f t="shared" si="23"/>
        <v>0</v>
      </c>
      <c r="M52" s="33">
        <f t="shared" si="24"/>
        <v>0</v>
      </c>
    </row>
    <row r="53" spans="1:13" ht="15.75" customHeight="1" x14ac:dyDescent="0.25">
      <c r="A53" s="37" t="s">
        <v>235</v>
      </c>
      <c r="B53" s="30"/>
      <c r="C53" s="2" t="s">
        <v>65</v>
      </c>
      <c r="D53" s="3" t="s">
        <v>20</v>
      </c>
      <c r="E53" s="3" t="s">
        <v>8</v>
      </c>
      <c r="F53" s="7">
        <v>98.823800000000006</v>
      </c>
      <c r="G53" s="31"/>
      <c r="H53" s="5">
        <f t="shared" si="20"/>
        <v>1</v>
      </c>
      <c r="I53" s="9">
        <f t="shared" si="21"/>
        <v>98.823800000000006</v>
      </c>
      <c r="J53" s="32"/>
      <c r="K53" s="6">
        <f t="shared" si="22"/>
        <v>0</v>
      </c>
      <c r="L53" s="33">
        <f t="shared" si="23"/>
        <v>0</v>
      </c>
      <c r="M53" s="33">
        <f t="shared" si="24"/>
        <v>0</v>
      </c>
    </row>
    <row r="54" spans="1:13" ht="15.75" customHeight="1" x14ac:dyDescent="0.25">
      <c r="A54" s="37" t="s">
        <v>235</v>
      </c>
      <c r="B54" s="30"/>
      <c r="C54" s="2" t="s">
        <v>65</v>
      </c>
      <c r="D54" s="3" t="s">
        <v>20</v>
      </c>
      <c r="E54" s="3" t="s">
        <v>9</v>
      </c>
      <c r="F54" s="7">
        <v>79.0548</v>
      </c>
      <c r="G54" s="31"/>
      <c r="H54" s="5">
        <f t="shared" si="20"/>
        <v>1</v>
      </c>
      <c r="I54" s="9">
        <f t="shared" si="21"/>
        <v>79.0548</v>
      </c>
      <c r="J54" s="32"/>
      <c r="K54" s="6">
        <f t="shared" si="22"/>
        <v>0</v>
      </c>
      <c r="L54" s="33">
        <f t="shared" si="23"/>
        <v>0</v>
      </c>
      <c r="M54" s="33">
        <f t="shared" si="24"/>
        <v>0</v>
      </c>
    </row>
    <row r="55" spans="1:13" ht="15.75" customHeight="1" x14ac:dyDescent="0.25">
      <c r="A55" s="37" t="s">
        <v>235</v>
      </c>
      <c r="B55" s="30"/>
      <c r="C55" s="2" t="s">
        <v>66</v>
      </c>
      <c r="D55" s="3" t="s">
        <v>7</v>
      </c>
      <c r="E55" s="3" t="s">
        <v>8</v>
      </c>
      <c r="F55" s="7">
        <v>127.85720000000001</v>
      </c>
      <c r="G55" s="31"/>
      <c r="H55" s="5">
        <f t="shared" si="20"/>
        <v>1</v>
      </c>
      <c r="I55" s="9">
        <f t="shared" si="21"/>
        <v>127.85720000000001</v>
      </c>
      <c r="J55" s="32"/>
      <c r="K55" s="6">
        <f t="shared" si="22"/>
        <v>0</v>
      </c>
      <c r="L55" s="33">
        <f t="shared" si="23"/>
        <v>0</v>
      </c>
      <c r="M55" s="33">
        <f t="shared" si="24"/>
        <v>0</v>
      </c>
    </row>
    <row r="56" spans="1:13" ht="15.75" customHeight="1" x14ac:dyDescent="0.25">
      <c r="A56" s="37" t="s">
        <v>235</v>
      </c>
      <c r="B56" s="30"/>
      <c r="C56" s="2" t="s">
        <v>66</v>
      </c>
      <c r="D56" s="3" t="s">
        <v>20</v>
      </c>
      <c r="E56" s="3" t="s">
        <v>9</v>
      </c>
      <c r="F56" s="7">
        <v>93.492000000000004</v>
      </c>
      <c r="G56" s="31"/>
      <c r="H56" s="5">
        <f t="shared" si="20"/>
        <v>1</v>
      </c>
      <c r="I56" s="9">
        <f t="shared" si="21"/>
        <v>93.492000000000004</v>
      </c>
      <c r="J56" s="32"/>
      <c r="K56" s="6">
        <f t="shared" si="22"/>
        <v>0</v>
      </c>
      <c r="L56" s="33">
        <f t="shared" si="23"/>
        <v>0</v>
      </c>
      <c r="M56" s="33">
        <f t="shared" si="24"/>
        <v>0</v>
      </c>
    </row>
    <row r="57" spans="1:13" ht="15.75" customHeight="1" x14ac:dyDescent="0.25">
      <c r="A57" s="37" t="s">
        <v>235</v>
      </c>
      <c r="B57" s="30"/>
      <c r="C57" s="2" t="s">
        <v>11</v>
      </c>
      <c r="D57" s="3" t="s">
        <v>7</v>
      </c>
      <c r="E57" s="3" t="s">
        <v>9</v>
      </c>
      <c r="F57" s="7">
        <v>153.7106</v>
      </c>
      <c r="G57" s="31"/>
      <c r="H57" s="8">
        <f t="shared" si="20"/>
        <v>1</v>
      </c>
      <c r="I57" s="9">
        <f t="shared" si="21"/>
        <v>153.7106</v>
      </c>
      <c r="J57" s="34"/>
      <c r="K57" s="6">
        <f t="shared" si="22"/>
        <v>0</v>
      </c>
      <c r="L57" s="33">
        <f t="shared" si="23"/>
        <v>0</v>
      </c>
      <c r="M57" s="33">
        <f t="shared" si="24"/>
        <v>0</v>
      </c>
    </row>
    <row r="58" spans="1:13" ht="15.75" customHeight="1" x14ac:dyDescent="0.25">
      <c r="A58" s="37" t="s">
        <v>235</v>
      </c>
      <c r="B58" s="30"/>
      <c r="C58" s="2" t="s">
        <v>67</v>
      </c>
      <c r="D58" s="3" t="s">
        <v>5</v>
      </c>
      <c r="E58" s="3" t="s">
        <v>6</v>
      </c>
      <c r="F58" s="4">
        <v>55.035200000000003</v>
      </c>
      <c r="G58" s="31"/>
      <c r="H58" s="8">
        <f t="shared" si="20"/>
        <v>1</v>
      </c>
      <c r="I58" s="9">
        <f t="shared" si="21"/>
        <v>55.035200000000003</v>
      </c>
      <c r="J58" s="34"/>
      <c r="K58" s="6">
        <f t="shared" si="22"/>
        <v>0</v>
      </c>
      <c r="L58" s="33">
        <f t="shared" si="23"/>
        <v>0</v>
      </c>
      <c r="M58" s="33">
        <f t="shared" si="24"/>
        <v>0</v>
      </c>
    </row>
    <row r="59" spans="1:13" ht="15.75" customHeight="1" x14ac:dyDescent="0.25">
      <c r="A59" s="37" t="s">
        <v>235</v>
      </c>
      <c r="B59" s="30"/>
      <c r="C59" s="2" t="s">
        <v>68</v>
      </c>
      <c r="D59" s="3" t="s">
        <v>13</v>
      </c>
      <c r="E59" s="3" t="s">
        <v>14</v>
      </c>
      <c r="F59" s="4">
        <v>5.88</v>
      </c>
      <c r="G59" s="31"/>
      <c r="H59" s="8">
        <f t="shared" si="20"/>
        <v>1</v>
      </c>
      <c r="I59" s="9">
        <f t="shared" si="21"/>
        <v>5.88</v>
      </c>
      <c r="J59" s="34"/>
      <c r="K59" s="6">
        <f t="shared" si="22"/>
        <v>0</v>
      </c>
      <c r="L59" s="33">
        <f t="shared" si="23"/>
        <v>0</v>
      </c>
      <c r="M59" s="33">
        <f t="shared" si="24"/>
        <v>0</v>
      </c>
    </row>
    <row r="60" spans="1:13" ht="15.75" customHeight="1" x14ac:dyDescent="0.25">
      <c r="A60" s="37" t="s">
        <v>235</v>
      </c>
      <c r="B60" s="30"/>
      <c r="C60" s="2" t="s">
        <v>225</v>
      </c>
      <c r="D60" s="3" t="s">
        <v>5</v>
      </c>
      <c r="E60" s="3" t="s">
        <v>10</v>
      </c>
      <c r="F60" s="4">
        <v>68.900000000000006</v>
      </c>
      <c r="G60" s="31"/>
      <c r="H60" s="8">
        <f t="shared" si="20"/>
        <v>1</v>
      </c>
      <c r="I60" s="9">
        <f t="shared" si="21"/>
        <v>68.900000000000006</v>
      </c>
      <c r="J60" s="34"/>
      <c r="K60" s="6">
        <f t="shared" si="22"/>
        <v>0</v>
      </c>
      <c r="L60" s="33">
        <f t="shared" si="23"/>
        <v>0</v>
      </c>
      <c r="M60" s="33">
        <f t="shared" si="24"/>
        <v>0</v>
      </c>
    </row>
    <row r="61" spans="1:13" ht="15.75" customHeight="1" x14ac:dyDescent="0.25">
      <c r="A61" s="37" t="s">
        <v>235</v>
      </c>
      <c r="B61" s="30"/>
      <c r="C61" s="2" t="s">
        <v>70</v>
      </c>
      <c r="D61" s="3" t="s">
        <v>5</v>
      </c>
      <c r="E61" s="3" t="s">
        <v>37</v>
      </c>
      <c r="F61" s="4">
        <v>72.08</v>
      </c>
      <c r="G61" s="31"/>
      <c r="H61" s="8">
        <f t="shared" si="20"/>
        <v>1</v>
      </c>
      <c r="I61" s="9">
        <f t="shared" si="21"/>
        <v>72.08</v>
      </c>
      <c r="J61" s="34"/>
      <c r="K61" s="6">
        <f t="shared" si="22"/>
        <v>0</v>
      </c>
      <c r="L61" s="33">
        <f t="shared" si="23"/>
        <v>0</v>
      </c>
      <c r="M61" s="33">
        <f t="shared" si="24"/>
        <v>0</v>
      </c>
    </row>
    <row r="62" spans="1:13" ht="18.75" x14ac:dyDescent="0.3">
      <c r="A62" s="37" t="s">
        <v>234</v>
      </c>
      <c r="B62" s="24">
        <v>0</v>
      </c>
      <c r="C62" s="13" t="s">
        <v>71</v>
      </c>
      <c r="D62" s="13"/>
      <c r="E62" s="13"/>
      <c r="F62" s="13"/>
      <c r="G62" s="13"/>
      <c r="H62" s="13"/>
      <c r="I62" s="13"/>
      <c r="J62" s="13"/>
      <c r="K62" s="13"/>
      <c r="L62" s="13"/>
      <c r="M62" s="23"/>
    </row>
    <row r="63" spans="1:13" ht="38.25" customHeight="1" x14ac:dyDescent="0.25">
      <c r="A63" s="37" t="s">
        <v>232</v>
      </c>
      <c r="B63" s="27" t="s">
        <v>35</v>
      </c>
      <c r="C63" s="28" t="s">
        <v>0</v>
      </c>
      <c r="D63" s="28" t="s">
        <v>1</v>
      </c>
      <c r="E63" s="28" t="s">
        <v>2</v>
      </c>
      <c r="F63" s="29" t="s">
        <v>40</v>
      </c>
      <c r="G63" s="16" t="s">
        <v>41</v>
      </c>
      <c r="H63" s="16" t="s">
        <v>36</v>
      </c>
      <c r="I63" s="18" t="s">
        <v>41</v>
      </c>
      <c r="J63" s="18" t="s">
        <v>36</v>
      </c>
      <c r="K63" s="14" t="s">
        <v>43</v>
      </c>
      <c r="L63" s="16" t="s">
        <v>42</v>
      </c>
      <c r="M63" s="18" t="s">
        <v>42</v>
      </c>
    </row>
    <row r="64" spans="1:13" ht="15.75" customHeight="1" x14ac:dyDescent="0.25">
      <c r="A64" s="37" t="s">
        <v>235</v>
      </c>
      <c r="B64" s="30"/>
      <c r="C64" s="2" t="s">
        <v>72</v>
      </c>
      <c r="D64" s="3" t="s">
        <v>7</v>
      </c>
      <c r="E64" s="3" t="s">
        <v>4</v>
      </c>
      <c r="F64" s="4">
        <v>92.887799999999999</v>
      </c>
      <c r="G64" s="31"/>
      <c r="H64" s="8">
        <f t="shared" ref="H64:H77" si="25">-(G64/F64)+1</f>
        <v>1</v>
      </c>
      <c r="I64" s="9">
        <f t="shared" ref="I64:I77" si="26">F64*(1-J64)</f>
        <v>92.887799999999999</v>
      </c>
      <c r="J64" s="34"/>
      <c r="K64" s="6">
        <f t="shared" ref="K64:K77" si="27">B64*F64</f>
        <v>0</v>
      </c>
      <c r="L64" s="33">
        <f t="shared" ref="L64:L77" si="28">B64*G64</f>
        <v>0</v>
      </c>
      <c r="M64" s="33">
        <f t="shared" ref="M64:M77" si="29">B64*I64</f>
        <v>0</v>
      </c>
    </row>
    <row r="65" spans="1:13" ht="15.75" customHeight="1" x14ac:dyDescent="0.25">
      <c r="A65" s="37" t="s">
        <v>235</v>
      </c>
      <c r="B65" s="30"/>
      <c r="C65" s="2" t="s">
        <v>72</v>
      </c>
      <c r="D65" s="3" t="s">
        <v>7</v>
      </c>
      <c r="E65" s="3" t="s">
        <v>15</v>
      </c>
      <c r="F65" s="4">
        <v>72.980999999999995</v>
      </c>
      <c r="G65" s="31"/>
      <c r="H65" s="8">
        <f t="shared" si="25"/>
        <v>1</v>
      </c>
      <c r="I65" s="9">
        <f t="shared" si="26"/>
        <v>72.980999999999995</v>
      </c>
      <c r="J65" s="34"/>
      <c r="K65" s="6">
        <f t="shared" si="27"/>
        <v>0</v>
      </c>
      <c r="L65" s="33">
        <f t="shared" si="28"/>
        <v>0</v>
      </c>
      <c r="M65" s="33">
        <f t="shared" si="29"/>
        <v>0</v>
      </c>
    </row>
    <row r="66" spans="1:13" ht="15.75" customHeight="1" x14ac:dyDescent="0.25">
      <c r="A66" s="37" t="s">
        <v>235</v>
      </c>
      <c r="B66" s="30"/>
      <c r="C66" s="2" t="s">
        <v>73</v>
      </c>
      <c r="D66" s="3" t="s">
        <v>20</v>
      </c>
      <c r="E66" s="3" t="s">
        <v>4</v>
      </c>
      <c r="F66" s="4">
        <v>85.277000000000001</v>
      </c>
      <c r="G66" s="31"/>
      <c r="H66" s="8">
        <f t="shared" si="25"/>
        <v>1</v>
      </c>
      <c r="I66" s="9">
        <f t="shared" si="26"/>
        <v>85.277000000000001</v>
      </c>
      <c r="J66" s="34"/>
      <c r="K66" s="6">
        <f t="shared" si="27"/>
        <v>0</v>
      </c>
      <c r="L66" s="33">
        <f t="shared" si="28"/>
        <v>0</v>
      </c>
      <c r="M66" s="33">
        <f t="shared" si="29"/>
        <v>0</v>
      </c>
    </row>
    <row r="67" spans="1:13" ht="15.75" customHeight="1" x14ac:dyDescent="0.25">
      <c r="A67" s="37" t="s">
        <v>235</v>
      </c>
      <c r="B67" s="30"/>
      <c r="C67" s="2" t="s">
        <v>72</v>
      </c>
      <c r="D67" s="3" t="s">
        <v>5</v>
      </c>
      <c r="E67" s="3" t="s">
        <v>6</v>
      </c>
      <c r="F67" s="4">
        <v>23.224600000000002</v>
      </c>
      <c r="G67" s="31"/>
      <c r="H67" s="8">
        <f t="shared" si="25"/>
        <v>1</v>
      </c>
      <c r="I67" s="9">
        <f t="shared" si="26"/>
        <v>23.224600000000002</v>
      </c>
      <c r="J67" s="34"/>
      <c r="K67" s="6">
        <f t="shared" si="27"/>
        <v>0</v>
      </c>
      <c r="L67" s="33">
        <f t="shared" si="28"/>
        <v>0</v>
      </c>
      <c r="M67" s="33">
        <f t="shared" si="29"/>
        <v>0</v>
      </c>
    </row>
    <row r="68" spans="1:13" ht="15.75" customHeight="1" x14ac:dyDescent="0.25">
      <c r="A68" s="37" t="s">
        <v>235</v>
      </c>
      <c r="B68" s="30"/>
      <c r="C68" s="2" t="s">
        <v>74</v>
      </c>
      <c r="D68" s="3" t="s">
        <v>7</v>
      </c>
      <c r="E68" s="3" t="s">
        <v>4</v>
      </c>
      <c r="F68" s="4">
        <v>95.677709400000012</v>
      </c>
      <c r="G68" s="31"/>
      <c r="H68" s="8">
        <f t="shared" si="25"/>
        <v>1</v>
      </c>
      <c r="I68" s="9">
        <f t="shared" si="26"/>
        <v>95.677709400000012</v>
      </c>
      <c r="J68" s="34"/>
      <c r="K68" s="6">
        <f t="shared" si="27"/>
        <v>0</v>
      </c>
      <c r="L68" s="33">
        <f t="shared" si="28"/>
        <v>0</v>
      </c>
      <c r="M68" s="33">
        <f t="shared" si="29"/>
        <v>0</v>
      </c>
    </row>
    <row r="69" spans="1:13" ht="15.75" customHeight="1" x14ac:dyDescent="0.25">
      <c r="A69" s="37" t="s">
        <v>235</v>
      </c>
      <c r="B69" s="30"/>
      <c r="C69" s="2" t="s">
        <v>74</v>
      </c>
      <c r="D69" s="3" t="s">
        <v>7</v>
      </c>
      <c r="E69" s="3" t="s">
        <v>15</v>
      </c>
      <c r="F69" s="4">
        <v>75.175343099999992</v>
      </c>
      <c r="G69" s="31"/>
      <c r="H69" s="8">
        <f t="shared" si="25"/>
        <v>1</v>
      </c>
      <c r="I69" s="9">
        <f t="shared" si="26"/>
        <v>75.175343099999992</v>
      </c>
      <c r="J69" s="34"/>
      <c r="K69" s="6">
        <f t="shared" si="27"/>
        <v>0</v>
      </c>
      <c r="L69" s="33">
        <f t="shared" si="28"/>
        <v>0</v>
      </c>
      <c r="M69" s="33">
        <f t="shared" si="29"/>
        <v>0</v>
      </c>
    </row>
    <row r="70" spans="1:13" ht="15.75" customHeight="1" x14ac:dyDescent="0.25">
      <c r="A70" s="37" t="s">
        <v>235</v>
      </c>
      <c r="B70" s="30"/>
      <c r="C70" s="2" t="s">
        <v>74</v>
      </c>
      <c r="D70" s="3" t="s">
        <v>5</v>
      </c>
      <c r="E70" s="3" t="s">
        <v>6</v>
      </c>
      <c r="F70" s="4">
        <v>23.919427350000003</v>
      </c>
      <c r="G70" s="31"/>
      <c r="H70" s="8">
        <f t="shared" si="25"/>
        <v>1</v>
      </c>
      <c r="I70" s="9">
        <f t="shared" si="26"/>
        <v>23.919427350000003</v>
      </c>
      <c r="J70" s="34"/>
      <c r="K70" s="6">
        <f t="shared" si="27"/>
        <v>0</v>
      </c>
      <c r="L70" s="33">
        <f t="shared" si="28"/>
        <v>0</v>
      </c>
      <c r="M70" s="33">
        <f t="shared" si="29"/>
        <v>0</v>
      </c>
    </row>
    <row r="71" spans="1:13" ht="15.75" customHeight="1" x14ac:dyDescent="0.25">
      <c r="A71" s="37" t="s">
        <v>235</v>
      </c>
      <c r="B71" s="30"/>
      <c r="C71" s="2" t="s">
        <v>75</v>
      </c>
      <c r="D71" s="3" t="s">
        <v>3</v>
      </c>
      <c r="E71" s="3" t="s">
        <v>4</v>
      </c>
      <c r="F71" s="4">
        <v>256.5412</v>
      </c>
      <c r="G71" s="31"/>
      <c r="H71" s="8">
        <f t="shared" si="25"/>
        <v>1</v>
      </c>
      <c r="I71" s="9">
        <f t="shared" si="26"/>
        <v>256.5412</v>
      </c>
      <c r="J71" s="34"/>
      <c r="K71" s="6">
        <f t="shared" si="27"/>
        <v>0</v>
      </c>
      <c r="L71" s="33">
        <f t="shared" si="28"/>
        <v>0</v>
      </c>
      <c r="M71" s="33">
        <f t="shared" si="29"/>
        <v>0</v>
      </c>
    </row>
    <row r="72" spans="1:13" ht="15.75" customHeight="1" x14ac:dyDescent="0.25">
      <c r="A72" s="37" t="s">
        <v>235</v>
      </c>
      <c r="B72" s="30"/>
      <c r="C72" s="2" t="s">
        <v>75</v>
      </c>
      <c r="D72" s="3" t="s">
        <v>5</v>
      </c>
      <c r="E72" s="3" t="s">
        <v>6</v>
      </c>
      <c r="F72" s="4">
        <v>64.13000000000001</v>
      </c>
      <c r="G72" s="31"/>
      <c r="H72" s="8">
        <f t="shared" si="25"/>
        <v>1</v>
      </c>
      <c r="I72" s="9">
        <f t="shared" si="26"/>
        <v>64.13000000000001</v>
      </c>
      <c r="J72" s="34"/>
      <c r="K72" s="6">
        <f t="shared" si="27"/>
        <v>0</v>
      </c>
      <c r="L72" s="33">
        <f t="shared" si="28"/>
        <v>0</v>
      </c>
      <c r="M72" s="33">
        <f t="shared" si="29"/>
        <v>0</v>
      </c>
    </row>
    <row r="73" spans="1:13" ht="15.75" customHeight="1" x14ac:dyDescent="0.25">
      <c r="A73" s="37" t="s">
        <v>235</v>
      </c>
      <c r="B73" s="30"/>
      <c r="C73" s="2" t="s">
        <v>76</v>
      </c>
      <c r="D73" s="3" t="s">
        <v>7</v>
      </c>
      <c r="E73" s="3" t="s">
        <v>4</v>
      </c>
      <c r="F73" s="4">
        <v>148.24100000000001</v>
      </c>
      <c r="G73" s="31"/>
      <c r="H73" s="8">
        <f t="shared" si="25"/>
        <v>1</v>
      </c>
      <c r="I73" s="9">
        <f t="shared" si="26"/>
        <v>148.24100000000001</v>
      </c>
      <c r="J73" s="34"/>
      <c r="K73" s="6">
        <f t="shared" si="27"/>
        <v>0</v>
      </c>
      <c r="L73" s="33">
        <f t="shared" si="28"/>
        <v>0</v>
      </c>
      <c r="M73" s="33">
        <f t="shared" si="29"/>
        <v>0</v>
      </c>
    </row>
    <row r="74" spans="1:13" ht="15.75" customHeight="1" x14ac:dyDescent="0.25">
      <c r="A74" s="37" t="s">
        <v>235</v>
      </c>
      <c r="B74" s="30"/>
      <c r="C74" s="2" t="s">
        <v>76</v>
      </c>
      <c r="D74" s="3" t="s">
        <v>5</v>
      </c>
      <c r="E74" s="3" t="s">
        <v>16</v>
      </c>
      <c r="F74" s="4">
        <v>37.057600000000001</v>
      </c>
      <c r="G74" s="31"/>
      <c r="H74" s="8">
        <f t="shared" si="25"/>
        <v>1</v>
      </c>
      <c r="I74" s="9">
        <f t="shared" si="26"/>
        <v>37.057600000000001</v>
      </c>
      <c r="J74" s="34"/>
      <c r="K74" s="6">
        <f t="shared" si="27"/>
        <v>0</v>
      </c>
      <c r="L74" s="33">
        <f t="shared" si="28"/>
        <v>0</v>
      </c>
      <c r="M74" s="33">
        <f t="shared" si="29"/>
        <v>0</v>
      </c>
    </row>
    <row r="75" spans="1:13" ht="15.75" customHeight="1" x14ac:dyDescent="0.25">
      <c r="A75" s="37" t="s">
        <v>235</v>
      </c>
      <c r="B75" s="30"/>
      <c r="C75" s="2" t="s">
        <v>99</v>
      </c>
      <c r="D75" s="3" t="s">
        <v>3</v>
      </c>
      <c r="E75" s="3" t="s">
        <v>4</v>
      </c>
      <c r="F75" s="4">
        <v>547.5924</v>
      </c>
      <c r="G75" s="31"/>
      <c r="H75" s="8">
        <f t="shared" si="25"/>
        <v>1</v>
      </c>
      <c r="I75" s="9">
        <f t="shared" si="26"/>
        <v>547.5924</v>
      </c>
      <c r="J75" s="34"/>
      <c r="K75" s="6">
        <f t="shared" si="27"/>
        <v>0</v>
      </c>
      <c r="L75" s="33">
        <f t="shared" si="28"/>
        <v>0</v>
      </c>
      <c r="M75" s="33">
        <f t="shared" si="29"/>
        <v>0</v>
      </c>
    </row>
    <row r="76" spans="1:13" ht="15.75" customHeight="1" x14ac:dyDescent="0.25">
      <c r="A76" s="37" t="s">
        <v>235</v>
      </c>
      <c r="B76" s="30"/>
      <c r="C76" s="2" t="s">
        <v>99</v>
      </c>
      <c r="D76" s="3" t="s">
        <v>5</v>
      </c>
      <c r="E76" s="3" t="s">
        <v>16</v>
      </c>
      <c r="F76" s="4">
        <v>136.89000000000001</v>
      </c>
      <c r="G76" s="31"/>
      <c r="H76" s="8">
        <f t="shared" si="25"/>
        <v>1</v>
      </c>
      <c r="I76" s="9">
        <f t="shared" si="26"/>
        <v>136.89000000000001</v>
      </c>
      <c r="J76" s="34"/>
      <c r="K76" s="6">
        <f t="shared" si="27"/>
        <v>0</v>
      </c>
      <c r="L76" s="33">
        <f t="shared" si="28"/>
        <v>0</v>
      </c>
      <c r="M76" s="33">
        <f t="shared" si="29"/>
        <v>0</v>
      </c>
    </row>
    <row r="77" spans="1:13" ht="15.75" customHeight="1" x14ac:dyDescent="0.25">
      <c r="A77" s="37" t="s">
        <v>235</v>
      </c>
      <c r="B77" s="30"/>
      <c r="C77" s="2" t="s">
        <v>99</v>
      </c>
      <c r="D77" s="3" t="s">
        <v>18</v>
      </c>
      <c r="E77" s="3" t="s">
        <v>28</v>
      </c>
      <c r="F77" s="4">
        <v>39.117600000000003</v>
      </c>
      <c r="G77" s="31"/>
      <c r="H77" s="8">
        <f t="shared" si="25"/>
        <v>1</v>
      </c>
      <c r="I77" s="9">
        <f t="shared" si="26"/>
        <v>39.117600000000003</v>
      </c>
      <c r="J77" s="34"/>
      <c r="K77" s="6">
        <f t="shared" si="27"/>
        <v>0</v>
      </c>
      <c r="L77" s="33">
        <f t="shared" si="28"/>
        <v>0</v>
      </c>
      <c r="M77" s="33">
        <f t="shared" si="29"/>
        <v>0</v>
      </c>
    </row>
    <row r="78" spans="1:13" ht="18.75" x14ac:dyDescent="0.3">
      <c r="A78" s="37" t="s">
        <v>234</v>
      </c>
      <c r="B78" s="24">
        <v>0</v>
      </c>
      <c r="C78" s="13" t="s">
        <v>77</v>
      </c>
      <c r="D78" s="13"/>
      <c r="E78" s="13"/>
      <c r="F78" s="13"/>
      <c r="G78" s="13"/>
      <c r="H78" s="13"/>
      <c r="I78" s="13"/>
      <c r="J78" s="13"/>
      <c r="K78" s="13"/>
      <c r="L78" s="13"/>
      <c r="M78" s="23"/>
    </row>
    <row r="79" spans="1:13" ht="38.25" customHeight="1" x14ac:dyDescent="0.25">
      <c r="A79" s="37" t="s">
        <v>232</v>
      </c>
      <c r="B79" s="27" t="s">
        <v>35</v>
      </c>
      <c r="C79" s="28" t="s">
        <v>0</v>
      </c>
      <c r="D79" s="28" t="s">
        <v>1</v>
      </c>
      <c r="E79" s="28" t="s">
        <v>2</v>
      </c>
      <c r="F79" s="29" t="s">
        <v>40</v>
      </c>
      <c r="G79" s="16" t="s">
        <v>41</v>
      </c>
      <c r="H79" s="16" t="s">
        <v>36</v>
      </c>
      <c r="I79" s="18" t="s">
        <v>41</v>
      </c>
      <c r="J79" s="18" t="s">
        <v>36</v>
      </c>
      <c r="K79" s="14" t="s">
        <v>43</v>
      </c>
      <c r="L79" s="16" t="s">
        <v>42</v>
      </c>
      <c r="M79" s="18" t="s">
        <v>42</v>
      </c>
    </row>
    <row r="80" spans="1:13" ht="15.75" customHeight="1" x14ac:dyDescent="0.25">
      <c r="A80" s="37" t="s">
        <v>235</v>
      </c>
      <c r="B80" s="30"/>
      <c r="C80" s="2" t="s">
        <v>78</v>
      </c>
      <c r="D80" s="3" t="s">
        <v>7</v>
      </c>
      <c r="E80" s="3" t="s">
        <v>4</v>
      </c>
      <c r="F80" s="4">
        <v>206.76</v>
      </c>
      <c r="G80" s="31"/>
      <c r="H80" s="8">
        <f t="shared" ref="H80:H83" si="30">-(G80/F80)+1</f>
        <v>1</v>
      </c>
      <c r="I80" s="9">
        <f t="shared" ref="I80:I83" si="31">F80*(1-J80)</f>
        <v>206.76</v>
      </c>
      <c r="J80" s="34"/>
      <c r="K80" s="6">
        <f t="shared" ref="K80:K83" si="32">B80*F80</f>
        <v>0</v>
      </c>
      <c r="L80" s="33">
        <f>B80*G80</f>
        <v>0</v>
      </c>
      <c r="M80" s="33">
        <f>B80*I80</f>
        <v>0</v>
      </c>
    </row>
    <row r="81" spans="1:13" ht="15.75" customHeight="1" x14ac:dyDescent="0.25">
      <c r="A81" s="37" t="s">
        <v>235</v>
      </c>
      <c r="B81" s="30"/>
      <c r="C81" s="2" t="s">
        <v>78</v>
      </c>
      <c r="D81" s="3" t="s">
        <v>5</v>
      </c>
      <c r="E81" s="3" t="s">
        <v>6</v>
      </c>
      <c r="F81" s="4">
        <v>51.7</v>
      </c>
      <c r="G81" s="31"/>
      <c r="H81" s="8">
        <f t="shared" si="30"/>
        <v>1</v>
      </c>
      <c r="I81" s="9">
        <f t="shared" si="31"/>
        <v>51.7</v>
      </c>
      <c r="J81" s="34"/>
      <c r="K81" s="6">
        <f t="shared" si="32"/>
        <v>0</v>
      </c>
      <c r="L81" s="33">
        <f>B81*G81</f>
        <v>0</v>
      </c>
      <c r="M81" s="33">
        <f>B81*I81</f>
        <v>0</v>
      </c>
    </row>
    <row r="82" spans="1:13" ht="15.75" customHeight="1" x14ac:dyDescent="0.25">
      <c r="A82" s="37" t="s">
        <v>235</v>
      </c>
      <c r="B82" s="30"/>
      <c r="C82" s="2" t="s">
        <v>79</v>
      </c>
      <c r="D82" s="3" t="s">
        <v>7</v>
      </c>
      <c r="E82" s="3" t="s">
        <v>4</v>
      </c>
      <c r="F82" s="4">
        <v>280.11</v>
      </c>
      <c r="G82" s="31"/>
      <c r="H82" s="8">
        <f t="shared" si="30"/>
        <v>1</v>
      </c>
      <c r="I82" s="9">
        <f t="shared" si="31"/>
        <v>280.11</v>
      </c>
      <c r="J82" s="34"/>
      <c r="K82" s="6">
        <f t="shared" si="32"/>
        <v>0</v>
      </c>
      <c r="L82" s="33">
        <f>B82*G82</f>
        <v>0</v>
      </c>
      <c r="M82" s="33">
        <f>B82*I82</f>
        <v>0</v>
      </c>
    </row>
    <row r="83" spans="1:13" ht="15.75" customHeight="1" x14ac:dyDescent="0.25">
      <c r="A83" s="37" t="s">
        <v>235</v>
      </c>
      <c r="B83" s="30"/>
      <c r="C83" s="2" t="s">
        <v>79</v>
      </c>
      <c r="D83" s="3" t="s">
        <v>5</v>
      </c>
      <c r="E83" s="3" t="s">
        <v>16</v>
      </c>
      <c r="F83" s="4">
        <v>70.02</v>
      </c>
      <c r="G83" s="31"/>
      <c r="H83" s="8">
        <f t="shared" si="30"/>
        <v>1</v>
      </c>
      <c r="I83" s="9">
        <f t="shared" si="31"/>
        <v>70.02</v>
      </c>
      <c r="J83" s="34"/>
      <c r="K83" s="6">
        <f t="shared" si="32"/>
        <v>0</v>
      </c>
      <c r="L83" s="33">
        <f>B83*G83</f>
        <v>0</v>
      </c>
      <c r="M83" s="33">
        <f>B83*I83</f>
        <v>0</v>
      </c>
    </row>
    <row r="84" spans="1:13" ht="18.75" x14ac:dyDescent="0.3">
      <c r="A84" s="37" t="s">
        <v>234</v>
      </c>
      <c r="B84" s="24">
        <v>0</v>
      </c>
      <c r="C84" s="13" t="s">
        <v>80</v>
      </c>
      <c r="D84" s="13"/>
      <c r="E84" s="13"/>
      <c r="F84" s="13"/>
      <c r="G84" s="13"/>
      <c r="H84" s="13"/>
      <c r="I84" s="13"/>
      <c r="J84" s="13"/>
      <c r="K84" s="13"/>
      <c r="L84" s="13"/>
      <c r="M84" s="23"/>
    </row>
    <row r="85" spans="1:13" ht="38.25" customHeight="1" x14ac:dyDescent="0.25">
      <c r="A85" s="37" t="s">
        <v>232</v>
      </c>
      <c r="B85" s="27" t="s">
        <v>35</v>
      </c>
      <c r="C85" s="28" t="s">
        <v>0</v>
      </c>
      <c r="D85" s="28" t="s">
        <v>1</v>
      </c>
      <c r="E85" s="28" t="s">
        <v>2</v>
      </c>
      <c r="F85" s="29"/>
      <c r="G85" s="16" t="s">
        <v>41</v>
      </c>
      <c r="H85" s="16" t="s">
        <v>36</v>
      </c>
      <c r="I85" s="18" t="s">
        <v>41</v>
      </c>
      <c r="J85" s="18" t="s">
        <v>36</v>
      </c>
      <c r="K85" s="14" t="s">
        <v>43</v>
      </c>
      <c r="L85" s="16" t="s">
        <v>42</v>
      </c>
      <c r="M85" s="18" t="s">
        <v>42</v>
      </c>
    </row>
    <row r="86" spans="1:13" ht="15.75" customHeight="1" x14ac:dyDescent="0.25">
      <c r="A86" s="37" t="s">
        <v>235</v>
      </c>
      <c r="B86" s="30"/>
      <c r="C86" s="2" t="s">
        <v>81</v>
      </c>
      <c r="D86" s="3" t="s">
        <v>7</v>
      </c>
      <c r="E86" s="3" t="s">
        <v>4</v>
      </c>
      <c r="F86" s="4">
        <v>243.2064</v>
      </c>
      <c r="G86" s="31"/>
      <c r="H86" s="8">
        <f t="shared" ref="H86:H89" si="33">-(G86/F86)+1</f>
        <v>1</v>
      </c>
      <c r="I86" s="9">
        <f t="shared" ref="I86:I89" si="34">F86*(1-J86)</f>
        <v>243.2064</v>
      </c>
      <c r="J86" s="34"/>
      <c r="K86" s="6">
        <f t="shared" ref="K86:K89" si="35">B86*F86</f>
        <v>0</v>
      </c>
      <c r="L86" s="33">
        <f>B86*G86</f>
        <v>0</v>
      </c>
      <c r="M86" s="33">
        <f>B86*I86</f>
        <v>0</v>
      </c>
    </row>
    <row r="87" spans="1:13" ht="15.75" customHeight="1" x14ac:dyDescent="0.25">
      <c r="A87" s="37" t="s">
        <v>235</v>
      </c>
      <c r="B87" s="30"/>
      <c r="C87" s="2" t="s">
        <v>81</v>
      </c>
      <c r="D87" s="3" t="s">
        <v>5</v>
      </c>
      <c r="E87" s="3" t="s">
        <v>16</v>
      </c>
      <c r="F87" s="4">
        <v>60.801600000000001</v>
      </c>
      <c r="G87" s="31"/>
      <c r="H87" s="8">
        <f t="shared" si="33"/>
        <v>1</v>
      </c>
      <c r="I87" s="9">
        <f t="shared" si="34"/>
        <v>60.801600000000001</v>
      </c>
      <c r="J87" s="34"/>
      <c r="K87" s="6">
        <f t="shared" si="35"/>
        <v>0</v>
      </c>
      <c r="L87" s="33">
        <f>B87*G87</f>
        <v>0</v>
      </c>
      <c r="M87" s="33">
        <f>B87*I87</f>
        <v>0</v>
      </c>
    </row>
    <row r="88" spans="1:13" ht="15.75" customHeight="1" x14ac:dyDescent="0.25">
      <c r="A88" s="37" t="s">
        <v>235</v>
      </c>
      <c r="B88" s="30"/>
      <c r="C88" s="2" t="s">
        <v>142</v>
      </c>
      <c r="D88" s="3" t="s">
        <v>3</v>
      </c>
      <c r="E88" s="3" t="s">
        <v>4</v>
      </c>
      <c r="F88" s="4">
        <v>555.02279999999996</v>
      </c>
      <c r="G88" s="31"/>
      <c r="H88" s="8">
        <f t="shared" si="33"/>
        <v>1</v>
      </c>
      <c r="I88" s="9">
        <f t="shared" si="34"/>
        <v>555.02279999999996</v>
      </c>
      <c r="J88" s="34"/>
      <c r="K88" s="6">
        <f t="shared" si="35"/>
        <v>0</v>
      </c>
      <c r="L88" s="33">
        <f>B88*G88</f>
        <v>0</v>
      </c>
      <c r="M88" s="33">
        <f>B88*I88</f>
        <v>0</v>
      </c>
    </row>
    <row r="89" spans="1:13" ht="15.75" customHeight="1" x14ac:dyDescent="0.25">
      <c r="A89" s="37" t="s">
        <v>235</v>
      </c>
      <c r="B89" s="30"/>
      <c r="C89" s="2" t="s">
        <v>142</v>
      </c>
      <c r="D89" s="3" t="s">
        <v>5</v>
      </c>
      <c r="E89" s="3" t="s">
        <v>16</v>
      </c>
      <c r="F89" s="4">
        <v>138.75839999999999</v>
      </c>
      <c r="G89" s="31"/>
      <c r="H89" s="8">
        <f t="shared" si="33"/>
        <v>1</v>
      </c>
      <c r="I89" s="9">
        <f t="shared" si="34"/>
        <v>138.75839999999999</v>
      </c>
      <c r="J89" s="34"/>
      <c r="K89" s="6">
        <f t="shared" si="35"/>
        <v>0</v>
      </c>
      <c r="L89" s="33">
        <f>B89*G89</f>
        <v>0</v>
      </c>
      <c r="M89" s="33">
        <f>B89*I89</f>
        <v>0</v>
      </c>
    </row>
    <row r="90" spans="1:13" ht="18.75" x14ac:dyDescent="0.3">
      <c r="A90" s="37" t="s">
        <v>234</v>
      </c>
      <c r="B90" s="24">
        <v>0</v>
      </c>
      <c r="C90" s="13" t="s">
        <v>17</v>
      </c>
      <c r="D90" s="13"/>
      <c r="E90" s="13"/>
      <c r="F90" s="13"/>
      <c r="G90" s="13"/>
      <c r="H90" s="13"/>
      <c r="I90" s="13"/>
      <c r="J90" s="13"/>
      <c r="K90" s="13"/>
      <c r="L90" s="13"/>
      <c r="M90" s="23"/>
    </row>
    <row r="91" spans="1:13" ht="38.25" customHeight="1" x14ac:dyDescent="0.25">
      <c r="A91" s="37" t="s">
        <v>232</v>
      </c>
      <c r="B91" s="27" t="s">
        <v>35</v>
      </c>
      <c r="C91" s="28" t="s">
        <v>0</v>
      </c>
      <c r="D91" s="28" t="s">
        <v>1</v>
      </c>
      <c r="E91" s="28" t="s">
        <v>2</v>
      </c>
      <c r="F91" s="29" t="s">
        <v>40</v>
      </c>
      <c r="G91" s="16" t="s">
        <v>41</v>
      </c>
      <c r="H91" s="16" t="s">
        <v>36</v>
      </c>
      <c r="I91" s="18" t="s">
        <v>41</v>
      </c>
      <c r="J91" s="18" t="s">
        <v>36</v>
      </c>
      <c r="K91" s="14" t="s">
        <v>43</v>
      </c>
      <c r="L91" s="16" t="s">
        <v>42</v>
      </c>
      <c r="M91" s="18" t="s">
        <v>42</v>
      </c>
    </row>
    <row r="92" spans="1:13" ht="15.75" customHeight="1" x14ac:dyDescent="0.25">
      <c r="A92" s="37" t="s">
        <v>235</v>
      </c>
      <c r="B92" s="30"/>
      <c r="C92" s="2" t="s">
        <v>82</v>
      </c>
      <c r="D92" s="3" t="s">
        <v>7</v>
      </c>
      <c r="E92" s="3" t="s">
        <v>8</v>
      </c>
      <c r="F92" s="4">
        <v>117.32</v>
      </c>
      <c r="G92" s="31"/>
      <c r="H92" s="8">
        <f t="shared" ref="H92:H105" si="36">-(G92/F92)+1</f>
        <v>1</v>
      </c>
      <c r="I92" s="9">
        <f t="shared" ref="I92:I101" si="37">F92*(1-J92)</f>
        <v>117.32</v>
      </c>
      <c r="J92" s="34"/>
      <c r="K92" s="6">
        <f t="shared" ref="K92:K105" si="38">B92*F92</f>
        <v>0</v>
      </c>
      <c r="L92" s="33">
        <f t="shared" ref="L92:L101" si="39">B92*G92</f>
        <v>0</v>
      </c>
      <c r="M92" s="33">
        <f t="shared" ref="M92:M101" si="40">B92*I92</f>
        <v>0</v>
      </c>
    </row>
    <row r="93" spans="1:13" ht="15.75" customHeight="1" x14ac:dyDescent="0.25">
      <c r="A93" s="37" t="s">
        <v>235</v>
      </c>
      <c r="B93" s="30"/>
      <c r="C93" s="2" t="s">
        <v>82</v>
      </c>
      <c r="D93" s="3" t="s">
        <v>20</v>
      </c>
      <c r="E93" s="3" t="s">
        <v>9</v>
      </c>
      <c r="F93" s="4">
        <v>87.32</v>
      </c>
      <c r="G93" s="31"/>
      <c r="H93" s="8">
        <f t="shared" si="36"/>
        <v>1</v>
      </c>
      <c r="I93" s="9">
        <f t="shared" si="37"/>
        <v>87.32</v>
      </c>
      <c r="J93" s="34"/>
      <c r="K93" s="6">
        <f t="shared" si="38"/>
        <v>0</v>
      </c>
      <c r="L93" s="33">
        <f t="shared" si="39"/>
        <v>0</v>
      </c>
      <c r="M93" s="33">
        <f t="shared" si="40"/>
        <v>0</v>
      </c>
    </row>
    <row r="94" spans="1:13" ht="15.75" customHeight="1" x14ac:dyDescent="0.25">
      <c r="A94" s="37" t="s">
        <v>235</v>
      </c>
      <c r="B94" s="30"/>
      <c r="C94" s="2" t="s">
        <v>82</v>
      </c>
      <c r="D94" s="3" t="s">
        <v>5</v>
      </c>
      <c r="E94" s="3" t="s">
        <v>83</v>
      </c>
      <c r="F94" s="4">
        <v>28.78</v>
      </c>
      <c r="G94" s="31"/>
      <c r="H94" s="8">
        <f t="shared" si="36"/>
        <v>1</v>
      </c>
      <c r="I94" s="9">
        <f t="shared" si="37"/>
        <v>28.78</v>
      </c>
      <c r="J94" s="34"/>
      <c r="K94" s="6">
        <f t="shared" si="38"/>
        <v>0</v>
      </c>
      <c r="L94" s="33">
        <f t="shared" si="39"/>
        <v>0</v>
      </c>
      <c r="M94" s="33">
        <f t="shared" si="40"/>
        <v>0</v>
      </c>
    </row>
    <row r="95" spans="1:13" ht="15.75" customHeight="1" x14ac:dyDescent="0.25">
      <c r="A95" s="37" t="s">
        <v>235</v>
      </c>
      <c r="B95" s="30"/>
      <c r="C95" s="2" t="s">
        <v>82</v>
      </c>
      <c r="D95" s="3" t="s">
        <v>13</v>
      </c>
      <c r="E95" s="3" t="s">
        <v>19</v>
      </c>
      <c r="F95" s="4">
        <v>9.02</v>
      </c>
      <c r="G95" s="31"/>
      <c r="H95" s="8">
        <f t="shared" si="36"/>
        <v>1</v>
      </c>
      <c r="I95" s="9">
        <f t="shared" si="37"/>
        <v>9.02</v>
      </c>
      <c r="J95" s="34"/>
      <c r="K95" s="6">
        <f t="shared" si="38"/>
        <v>0</v>
      </c>
      <c r="L95" s="33">
        <f t="shared" si="39"/>
        <v>0</v>
      </c>
      <c r="M95" s="33">
        <f t="shared" si="40"/>
        <v>0</v>
      </c>
    </row>
    <row r="96" spans="1:13" ht="15.75" customHeight="1" x14ac:dyDescent="0.25">
      <c r="A96" s="37" t="s">
        <v>235</v>
      </c>
      <c r="B96" s="30"/>
      <c r="C96" s="2" t="s">
        <v>21</v>
      </c>
      <c r="D96" s="3" t="s">
        <v>7</v>
      </c>
      <c r="E96" s="3" t="s">
        <v>8</v>
      </c>
      <c r="F96" s="4">
        <v>69.23</v>
      </c>
      <c r="G96" s="31"/>
      <c r="H96" s="8">
        <f t="shared" si="36"/>
        <v>1</v>
      </c>
      <c r="I96" s="9">
        <f t="shared" si="37"/>
        <v>69.23</v>
      </c>
      <c r="J96" s="34"/>
      <c r="K96" s="6">
        <f t="shared" si="38"/>
        <v>0</v>
      </c>
      <c r="L96" s="33">
        <f t="shared" si="39"/>
        <v>0</v>
      </c>
      <c r="M96" s="33">
        <f t="shared" si="40"/>
        <v>0</v>
      </c>
    </row>
    <row r="97" spans="1:13" ht="15.75" customHeight="1" x14ac:dyDescent="0.25">
      <c r="A97" s="37" t="s">
        <v>235</v>
      </c>
      <c r="B97" s="30"/>
      <c r="C97" s="2" t="s">
        <v>21</v>
      </c>
      <c r="D97" s="3" t="s">
        <v>7</v>
      </c>
      <c r="E97" s="3" t="s">
        <v>9</v>
      </c>
      <c r="F97" s="4">
        <v>56.57</v>
      </c>
      <c r="G97" s="31"/>
      <c r="H97" s="8">
        <f t="shared" si="36"/>
        <v>1</v>
      </c>
      <c r="I97" s="9">
        <f t="shared" si="37"/>
        <v>56.57</v>
      </c>
      <c r="J97" s="34"/>
      <c r="K97" s="6">
        <f t="shared" si="38"/>
        <v>0</v>
      </c>
      <c r="L97" s="33">
        <f t="shared" si="39"/>
        <v>0</v>
      </c>
      <c r="M97" s="33">
        <f t="shared" si="40"/>
        <v>0</v>
      </c>
    </row>
    <row r="98" spans="1:13" ht="15.75" customHeight="1" x14ac:dyDescent="0.25">
      <c r="A98" s="37" t="s">
        <v>235</v>
      </c>
      <c r="B98" s="30"/>
      <c r="C98" s="2" t="s">
        <v>84</v>
      </c>
      <c r="D98" s="3" t="s">
        <v>20</v>
      </c>
      <c r="E98" s="3" t="s">
        <v>8</v>
      </c>
      <c r="F98" s="4">
        <v>58.62</v>
      </c>
      <c r="G98" s="31"/>
      <c r="H98" s="8">
        <f t="shared" si="36"/>
        <v>1</v>
      </c>
      <c r="I98" s="9">
        <f t="shared" si="37"/>
        <v>58.62</v>
      </c>
      <c r="J98" s="34"/>
      <c r="K98" s="6">
        <f t="shared" si="38"/>
        <v>0</v>
      </c>
      <c r="L98" s="33">
        <f t="shared" si="39"/>
        <v>0</v>
      </c>
      <c r="M98" s="33">
        <f t="shared" si="40"/>
        <v>0</v>
      </c>
    </row>
    <row r="99" spans="1:13" ht="15.75" customHeight="1" x14ac:dyDescent="0.25">
      <c r="A99" s="37" t="s">
        <v>235</v>
      </c>
      <c r="B99" s="30"/>
      <c r="C99" s="2" t="s">
        <v>21</v>
      </c>
      <c r="D99" s="3" t="s">
        <v>20</v>
      </c>
      <c r="E99" s="3" t="s">
        <v>9</v>
      </c>
      <c r="F99" s="4">
        <v>49.87</v>
      </c>
      <c r="G99" s="31"/>
      <c r="H99" s="8">
        <f t="shared" si="36"/>
        <v>1</v>
      </c>
      <c r="I99" s="9">
        <f t="shared" si="37"/>
        <v>49.87</v>
      </c>
      <c r="J99" s="34"/>
      <c r="K99" s="6">
        <f t="shared" si="38"/>
        <v>0</v>
      </c>
      <c r="L99" s="33">
        <f t="shared" si="39"/>
        <v>0</v>
      </c>
      <c r="M99" s="33">
        <f t="shared" si="40"/>
        <v>0</v>
      </c>
    </row>
    <row r="100" spans="1:13" ht="15.75" customHeight="1" x14ac:dyDescent="0.25">
      <c r="A100" s="37" t="s">
        <v>235</v>
      </c>
      <c r="B100" s="30"/>
      <c r="C100" s="2" t="s">
        <v>21</v>
      </c>
      <c r="D100" s="3" t="s">
        <v>5</v>
      </c>
      <c r="E100" s="3" t="s">
        <v>83</v>
      </c>
      <c r="F100" s="4">
        <v>17.54</v>
      </c>
      <c r="G100" s="31"/>
      <c r="H100" s="8">
        <f t="shared" si="36"/>
        <v>1</v>
      </c>
      <c r="I100" s="9">
        <f t="shared" si="37"/>
        <v>17.54</v>
      </c>
      <c r="J100" s="34"/>
      <c r="K100" s="6">
        <f t="shared" si="38"/>
        <v>0</v>
      </c>
      <c r="L100" s="33">
        <f t="shared" si="39"/>
        <v>0</v>
      </c>
      <c r="M100" s="33">
        <f t="shared" si="40"/>
        <v>0</v>
      </c>
    </row>
    <row r="101" spans="1:13" ht="15.75" customHeight="1" x14ac:dyDescent="0.25">
      <c r="A101" s="37" t="s">
        <v>235</v>
      </c>
      <c r="B101" s="30"/>
      <c r="C101" s="2" t="s">
        <v>21</v>
      </c>
      <c r="D101" s="3" t="s">
        <v>13</v>
      </c>
      <c r="E101" s="3" t="s">
        <v>19</v>
      </c>
      <c r="F101" s="4">
        <v>6.21</v>
      </c>
      <c r="G101" s="31"/>
      <c r="H101" s="8">
        <f t="shared" si="36"/>
        <v>1</v>
      </c>
      <c r="I101" s="9">
        <f t="shared" si="37"/>
        <v>6.21</v>
      </c>
      <c r="J101" s="34"/>
      <c r="K101" s="6">
        <f t="shared" si="38"/>
        <v>0</v>
      </c>
      <c r="L101" s="33">
        <f t="shared" si="39"/>
        <v>0</v>
      </c>
      <c r="M101" s="33">
        <f t="shared" si="40"/>
        <v>0</v>
      </c>
    </row>
    <row r="102" spans="1:13" ht="18.75" x14ac:dyDescent="0.3">
      <c r="A102" s="37" t="s">
        <v>234</v>
      </c>
      <c r="B102" s="24">
        <v>0</v>
      </c>
      <c r="C102" s="13" t="s">
        <v>87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23"/>
    </row>
    <row r="103" spans="1:13" ht="38.25" customHeight="1" x14ac:dyDescent="0.25">
      <c r="A103" s="37" t="s">
        <v>232</v>
      </c>
      <c r="B103" s="27" t="s">
        <v>35</v>
      </c>
      <c r="C103" s="28" t="s">
        <v>0</v>
      </c>
      <c r="D103" s="28" t="s">
        <v>1</v>
      </c>
      <c r="E103" s="28" t="s">
        <v>2</v>
      </c>
      <c r="F103" s="29"/>
      <c r="G103" s="16" t="s">
        <v>41</v>
      </c>
      <c r="H103" s="16" t="s">
        <v>36</v>
      </c>
      <c r="I103" s="18" t="s">
        <v>41</v>
      </c>
      <c r="J103" s="18" t="s">
        <v>36</v>
      </c>
      <c r="K103" s="14" t="s">
        <v>43</v>
      </c>
      <c r="L103" s="16" t="s">
        <v>42</v>
      </c>
      <c r="M103" s="18" t="s">
        <v>42</v>
      </c>
    </row>
    <row r="104" spans="1:13" ht="15.75" customHeight="1" x14ac:dyDescent="0.25">
      <c r="A104" s="37" t="s">
        <v>235</v>
      </c>
      <c r="B104" s="30"/>
      <c r="C104" s="2" t="s">
        <v>88</v>
      </c>
      <c r="D104" s="3" t="s">
        <v>7</v>
      </c>
      <c r="E104" s="3" t="s">
        <v>52</v>
      </c>
      <c r="F104" s="4">
        <v>295.09339999999997</v>
      </c>
      <c r="G104" s="31"/>
      <c r="H104" s="8">
        <f t="shared" si="36"/>
        <v>1</v>
      </c>
      <c r="I104" s="9">
        <f t="shared" ref="I104:I105" si="41">F104*(1-J104)</f>
        <v>295.09339999999997</v>
      </c>
      <c r="J104" s="34"/>
      <c r="K104" s="6">
        <f t="shared" si="38"/>
        <v>0</v>
      </c>
      <c r="L104" s="33">
        <f>B104*G104</f>
        <v>0</v>
      </c>
      <c r="M104" s="33">
        <f>B104*I104</f>
        <v>0</v>
      </c>
    </row>
    <row r="105" spans="1:13" ht="15.75" customHeight="1" x14ac:dyDescent="0.25">
      <c r="A105" s="37" t="s">
        <v>235</v>
      </c>
      <c r="B105" s="30"/>
      <c r="C105" s="2" t="s">
        <v>218</v>
      </c>
      <c r="D105" s="3" t="s">
        <v>5</v>
      </c>
      <c r="E105" s="3" t="s">
        <v>12</v>
      </c>
      <c r="F105" s="4">
        <v>65.571600000000004</v>
      </c>
      <c r="G105" s="31"/>
      <c r="H105" s="8">
        <f t="shared" si="36"/>
        <v>1</v>
      </c>
      <c r="I105" s="9">
        <f t="shared" si="41"/>
        <v>65.571600000000004</v>
      </c>
      <c r="J105" s="34"/>
      <c r="K105" s="6">
        <f t="shared" si="38"/>
        <v>0</v>
      </c>
      <c r="L105" s="33">
        <f>B105*G105</f>
        <v>0</v>
      </c>
      <c r="M105" s="33">
        <f>B105*I105</f>
        <v>0</v>
      </c>
    </row>
    <row r="106" spans="1:13" ht="18.75" x14ac:dyDescent="0.3">
      <c r="A106" s="37" t="s">
        <v>233</v>
      </c>
      <c r="B106" s="25"/>
      <c r="C106" s="12" t="s">
        <v>92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26"/>
    </row>
    <row r="107" spans="1:13" ht="18.75" x14ac:dyDescent="0.3">
      <c r="A107" s="37" t="s">
        <v>234</v>
      </c>
      <c r="B107" s="24">
        <v>0</v>
      </c>
      <c r="C107" s="13" t="s">
        <v>89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23"/>
    </row>
    <row r="108" spans="1:13" ht="38.25" customHeight="1" x14ac:dyDescent="0.25">
      <c r="A108" s="37" t="s">
        <v>232</v>
      </c>
      <c r="B108" s="27" t="s">
        <v>35</v>
      </c>
      <c r="C108" s="28" t="s">
        <v>0</v>
      </c>
      <c r="D108" s="28" t="s">
        <v>1</v>
      </c>
      <c r="E108" s="28" t="s">
        <v>2</v>
      </c>
      <c r="F108" s="29"/>
      <c r="G108" s="16" t="s">
        <v>41</v>
      </c>
      <c r="H108" s="16" t="s">
        <v>36</v>
      </c>
      <c r="I108" s="18" t="s">
        <v>41</v>
      </c>
      <c r="J108" s="18" t="s">
        <v>36</v>
      </c>
      <c r="K108" s="14" t="s">
        <v>43</v>
      </c>
      <c r="L108" s="16" t="s">
        <v>42</v>
      </c>
      <c r="M108" s="18" t="s">
        <v>42</v>
      </c>
    </row>
    <row r="109" spans="1:13" ht="15.75" customHeight="1" x14ac:dyDescent="0.25">
      <c r="A109" s="37" t="s">
        <v>235</v>
      </c>
      <c r="B109" s="30"/>
      <c r="C109" s="2" t="s">
        <v>90</v>
      </c>
      <c r="D109" s="3" t="s">
        <v>5</v>
      </c>
      <c r="E109" s="3" t="s">
        <v>6</v>
      </c>
      <c r="F109" s="4">
        <v>110.4944</v>
      </c>
      <c r="G109" s="31"/>
      <c r="H109" s="8">
        <f t="shared" ref="H109:H137" si="42">-(G109/F109)+1</f>
        <v>1</v>
      </c>
      <c r="I109" s="9">
        <f t="shared" ref="I109:I115" si="43">F109*(1-J109)</f>
        <v>110.4944</v>
      </c>
      <c r="J109" s="34"/>
      <c r="K109" s="6">
        <f t="shared" ref="K109:K137" si="44">B109*F109</f>
        <v>0</v>
      </c>
      <c r="L109" s="33">
        <f t="shared" ref="L109:L115" si="45">B109*G109</f>
        <v>0</v>
      </c>
      <c r="M109" s="33">
        <f t="shared" ref="M109:M115" si="46">B109*I109</f>
        <v>0</v>
      </c>
    </row>
    <row r="110" spans="1:13" ht="15.75" customHeight="1" x14ac:dyDescent="0.25">
      <c r="A110" s="37" t="s">
        <v>235</v>
      </c>
      <c r="B110" s="30"/>
      <c r="C110" s="2" t="s">
        <v>90</v>
      </c>
      <c r="D110" s="3" t="s">
        <v>18</v>
      </c>
      <c r="E110" s="3" t="s">
        <v>28</v>
      </c>
      <c r="F110" s="4">
        <v>31.58</v>
      </c>
      <c r="G110" s="31"/>
      <c r="H110" s="8">
        <f t="shared" si="42"/>
        <v>1</v>
      </c>
      <c r="I110" s="9">
        <f t="shared" si="43"/>
        <v>31.58</v>
      </c>
      <c r="J110" s="34"/>
      <c r="K110" s="6">
        <f t="shared" si="44"/>
        <v>0</v>
      </c>
      <c r="L110" s="33">
        <f t="shared" si="45"/>
        <v>0</v>
      </c>
      <c r="M110" s="33">
        <f t="shared" si="46"/>
        <v>0</v>
      </c>
    </row>
    <row r="111" spans="1:13" ht="15.75" customHeight="1" x14ac:dyDescent="0.25">
      <c r="A111" s="37" t="s">
        <v>235</v>
      </c>
      <c r="B111" s="30"/>
      <c r="C111" s="2" t="s">
        <v>221</v>
      </c>
      <c r="D111" s="3" t="s">
        <v>3</v>
      </c>
      <c r="E111" s="3" t="s">
        <v>4</v>
      </c>
      <c r="F111" s="4">
        <v>486.17960000000005</v>
      </c>
      <c r="G111" s="31"/>
      <c r="H111" s="8">
        <f t="shared" si="42"/>
        <v>1</v>
      </c>
      <c r="I111" s="9">
        <f t="shared" si="43"/>
        <v>486.17960000000005</v>
      </c>
      <c r="J111" s="34"/>
      <c r="K111" s="6">
        <f t="shared" si="44"/>
        <v>0</v>
      </c>
      <c r="L111" s="33">
        <f t="shared" si="45"/>
        <v>0</v>
      </c>
      <c r="M111" s="33">
        <f t="shared" si="46"/>
        <v>0</v>
      </c>
    </row>
    <row r="112" spans="1:13" ht="15.75" customHeight="1" x14ac:dyDescent="0.25">
      <c r="A112" s="37" t="s">
        <v>235</v>
      </c>
      <c r="B112" s="30"/>
      <c r="C112" s="2" t="s">
        <v>219</v>
      </c>
      <c r="D112" s="3" t="s">
        <v>3</v>
      </c>
      <c r="E112" s="3" t="s">
        <v>4</v>
      </c>
      <c r="F112" s="4">
        <v>420.94720000000001</v>
      </c>
      <c r="G112" s="31"/>
      <c r="H112" s="8">
        <f t="shared" si="42"/>
        <v>1</v>
      </c>
      <c r="I112" s="9">
        <f t="shared" si="43"/>
        <v>420.94720000000001</v>
      </c>
      <c r="J112" s="34"/>
      <c r="K112" s="6">
        <f t="shared" si="44"/>
        <v>0</v>
      </c>
      <c r="L112" s="33">
        <f t="shared" si="45"/>
        <v>0</v>
      </c>
      <c r="M112" s="33">
        <f t="shared" si="46"/>
        <v>0</v>
      </c>
    </row>
    <row r="113" spans="1:13" ht="15.75" customHeight="1" x14ac:dyDescent="0.25">
      <c r="A113" s="37" t="s">
        <v>235</v>
      </c>
      <c r="B113" s="30"/>
      <c r="C113" s="2" t="s">
        <v>220</v>
      </c>
      <c r="D113" s="3" t="s">
        <v>3</v>
      </c>
      <c r="E113" s="3" t="s">
        <v>4</v>
      </c>
      <c r="F113" s="4">
        <v>463.03980000000001</v>
      </c>
      <c r="G113" s="31"/>
      <c r="H113" s="8">
        <f t="shared" si="42"/>
        <v>1</v>
      </c>
      <c r="I113" s="9">
        <f t="shared" si="43"/>
        <v>463.03980000000001</v>
      </c>
      <c r="J113" s="34"/>
      <c r="K113" s="6">
        <f t="shared" si="44"/>
        <v>0</v>
      </c>
      <c r="L113" s="33">
        <f t="shared" si="45"/>
        <v>0</v>
      </c>
      <c r="M113" s="33">
        <f t="shared" si="46"/>
        <v>0</v>
      </c>
    </row>
    <row r="114" spans="1:13" ht="15.75" customHeight="1" x14ac:dyDescent="0.25">
      <c r="A114" s="37" t="s">
        <v>235</v>
      </c>
      <c r="B114" s="30"/>
      <c r="C114" s="2" t="s">
        <v>91</v>
      </c>
      <c r="D114" s="3" t="s">
        <v>5</v>
      </c>
      <c r="E114" s="3" t="s">
        <v>6</v>
      </c>
      <c r="F114" s="4">
        <v>105.2368</v>
      </c>
      <c r="G114" s="31"/>
      <c r="H114" s="8">
        <f t="shared" si="42"/>
        <v>1</v>
      </c>
      <c r="I114" s="9">
        <f t="shared" si="43"/>
        <v>105.2368</v>
      </c>
      <c r="J114" s="34"/>
      <c r="K114" s="6">
        <f t="shared" si="44"/>
        <v>0</v>
      </c>
      <c r="L114" s="33">
        <f t="shared" si="45"/>
        <v>0</v>
      </c>
      <c r="M114" s="33">
        <f t="shared" si="46"/>
        <v>0</v>
      </c>
    </row>
    <row r="115" spans="1:13" ht="15.75" customHeight="1" x14ac:dyDescent="0.25">
      <c r="A115" s="37" t="s">
        <v>235</v>
      </c>
      <c r="B115" s="30"/>
      <c r="C115" s="2" t="s">
        <v>91</v>
      </c>
      <c r="D115" s="3" t="s">
        <v>18</v>
      </c>
      <c r="E115" s="3" t="s">
        <v>28</v>
      </c>
      <c r="F115" s="4">
        <v>30.072200000000002</v>
      </c>
      <c r="G115" s="31"/>
      <c r="H115" s="8">
        <f t="shared" si="42"/>
        <v>1</v>
      </c>
      <c r="I115" s="9">
        <f t="shared" si="43"/>
        <v>30.072200000000002</v>
      </c>
      <c r="J115" s="34"/>
      <c r="K115" s="6">
        <f t="shared" si="44"/>
        <v>0</v>
      </c>
      <c r="L115" s="33">
        <f t="shared" si="45"/>
        <v>0</v>
      </c>
      <c r="M115" s="33">
        <f t="shared" si="46"/>
        <v>0</v>
      </c>
    </row>
    <row r="116" spans="1:13" ht="18.75" x14ac:dyDescent="0.3">
      <c r="A116" s="37" t="s">
        <v>234</v>
      </c>
      <c r="B116" s="22"/>
      <c r="C116" s="13" t="s">
        <v>93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23"/>
    </row>
    <row r="117" spans="1:13" ht="38.25" customHeight="1" x14ac:dyDescent="0.25">
      <c r="A117" s="37" t="s">
        <v>232</v>
      </c>
      <c r="B117" s="27" t="s">
        <v>35</v>
      </c>
      <c r="C117" s="28" t="s">
        <v>0</v>
      </c>
      <c r="D117" s="28" t="s">
        <v>1</v>
      </c>
      <c r="E117" s="28" t="s">
        <v>2</v>
      </c>
      <c r="F117" s="29" t="s">
        <v>40</v>
      </c>
      <c r="G117" s="16" t="s">
        <v>41</v>
      </c>
      <c r="H117" s="16" t="s">
        <v>36</v>
      </c>
      <c r="I117" s="18" t="s">
        <v>41</v>
      </c>
      <c r="J117" s="18" t="s">
        <v>36</v>
      </c>
      <c r="K117" s="14" t="s">
        <v>43</v>
      </c>
      <c r="L117" s="16" t="s">
        <v>42</v>
      </c>
      <c r="M117" s="18" t="s">
        <v>42</v>
      </c>
    </row>
    <row r="118" spans="1:13" ht="15.75" customHeight="1" x14ac:dyDescent="0.25">
      <c r="A118" s="37" t="s">
        <v>235</v>
      </c>
      <c r="B118" s="30"/>
      <c r="C118" s="2" t="s">
        <v>230</v>
      </c>
      <c r="D118" s="3" t="s">
        <v>5</v>
      </c>
      <c r="E118" s="3" t="s">
        <v>6</v>
      </c>
      <c r="F118" s="4">
        <v>107.93</v>
      </c>
      <c r="G118" s="31"/>
      <c r="H118" s="8">
        <f t="shared" si="42"/>
        <v>1</v>
      </c>
      <c r="I118" s="9">
        <f t="shared" ref="I118:I137" si="47">F118*(1-J118)</f>
        <v>107.93</v>
      </c>
      <c r="J118" s="34"/>
      <c r="K118" s="6">
        <f t="shared" si="44"/>
        <v>0</v>
      </c>
      <c r="L118" s="33">
        <f t="shared" ref="L118:L137" si="48">B118*G118</f>
        <v>0</v>
      </c>
      <c r="M118" s="33">
        <f t="shared" ref="M118:M137" si="49">B118*I118</f>
        <v>0</v>
      </c>
    </row>
    <row r="119" spans="1:13" ht="15.75" customHeight="1" x14ac:dyDescent="0.25">
      <c r="A119" s="37" t="s">
        <v>235</v>
      </c>
      <c r="B119" s="30"/>
      <c r="C119" s="2" t="s">
        <v>230</v>
      </c>
      <c r="D119" s="3" t="s">
        <v>18</v>
      </c>
      <c r="E119" s="3" t="s">
        <v>28</v>
      </c>
      <c r="F119" s="4">
        <v>30.84</v>
      </c>
      <c r="G119" s="31"/>
      <c r="H119" s="8">
        <f t="shared" si="42"/>
        <v>1</v>
      </c>
      <c r="I119" s="9">
        <f t="shared" si="47"/>
        <v>30.84</v>
      </c>
      <c r="J119" s="34"/>
      <c r="K119" s="6">
        <f t="shared" si="44"/>
        <v>0</v>
      </c>
      <c r="L119" s="33">
        <f t="shared" si="48"/>
        <v>0</v>
      </c>
      <c r="M119" s="33">
        <f t="shared" si="49"/>
        <v>0</v>
      </c>
    </row>
    <row r="120" spans="1:13" ht="15.75" customHeight="1" x14ac:dyDescent="0.25">
      <c r="A120" s="37" t="s">
        <v>235</v>
      </c>
      <c r="B120" s="30"/>
      <c r="C120" s="2" t="s">
        <v>231</v>
      </c>
      <c r="D120" s="3" t="s">
        <v>5</v>
      </c>
      <c r="E120" s="3" t="s">
        <v>6</v>
      </c>
      <c r="F120" s="4">
        <v>129.51</v>
      </c>
      <c r="G120" s="31"/>
      <c r="H120" s="8">
        <f t="shared" ref="H120:H121" si="50">-(G120/F120)+1</f>
        <v>1</v>
      </c>
      <c r="I120" s="9">
        <f t="shared" ref="I120:I121" si="51">F120*(1-J120)</f>
        <v>129.51</v>
      </c>
      <c r="J120" s="34"/>
      <c r="K120" s="6">
        <f t="shared" ref="K120:K121" si="52">B120*F120</f>
        <v>0</v>
      </c>
      <c r="L120" s="33">
        <f t="shared" ref="L120:L121" si="53">B120*G120</f>
        <v>0</v>
      </c>
      <c r="M120" s="33">
        <f t="shared" ref="M120:M121" si="54">B120*I120</f>
        <v>0</v>
      </c>
    </row>
    <row r="121" spans="1:13" ht="15.75" customHeight="1" x14ac:dyDescent="0.25">
      <c r="A121" s="37" t="s">
        <v>235</v>
      </c>
      <c r="B121" s="30"/>
      <c r="C121" s="2" t="s">
        <v>231</v>
      </c>
      <c r="D121" s="3" t="s">
        <v>18</v>
      </c>
      <c r="E121" s="3" t="s">
        <v>28</v>
      </c>
      <c r="F121" s="4">
        <v>37</v>
      </c>
      <c r="G121" s="31"/>
      <c r="H121" s="8">
        <f t="shared" si="50"/>
        <v>1</v>
      </c>
      <c r="I121" s="9">
        <f t="shared" si="51"/>
        <v>37</v>
      </c>
      <c r="J121" s="34"/>
      <c r="K121" s="6">
        <f t="shared" si="52"/>
        <v>0</v>
      </c>
      <c r="L121" s="33">
        <f t="shared" si="53"/>
        <v>0</v>
      </c>
      <c r="M121" s="33">
        <f t="shared" si="54"/>
        <v>0</v>
      </c>
    </row>
    <row r="122" spans="1:13" ht="15.75" customHeight="1" x14ac:dyDescent="0.25">
      <c r="A122" s="37" t="s">
        <v>235</v>
      </c>
      <c r="B122" s="30"/>
      <c r="C122" s="2" t="s">
        <v>94</v>
      </c>
      <c r="D122" s="3" t="s">
        <v>3</v>
      </c>
      <c r="E122" s="3" t="s">
        <v>4</v>
      </c>
      <c r="F122" s="4">
        <v>415.09800000000007</v>
      </c>
      <c r="G122" s="31"/>
      <c r="H122" s="8">
        <f t="shared" si="42"/>
        <v>1</v>
      </c>
      <c r="I122" s="9">
        <f t="shared" si="47"/>
        <v>415.09800000000007</v>
      </c>
      <c r="J122" s="34"/>
      <c r="K122" s="6">
        <f t="shared" si="44"/>
        <v>0</v>
      </c>
      <c r="L122" s="33">
        <f t="shared" si="48"/>
        <v>0</v>
      </c>
      <c r="M122" s="33">
        <f t="shared" si="49"/>
        <v>0</v>
      </c>
    </row>
    <row r="123" spans="1:13" ht="15.75" customHeight="1" x14ac:dyDescent="0.25">
      <c r="A123" s="37" t="s">
        <v>235</v>
      </c>
      <c r="B123" s="30"/>
      <c r="C123" s="2" t="s">
        <v>94</v>
      </c>
      <c r="D123" s="3" t="s">
        <v>5</v>
      </c>
      <c r="E123" s="3" t="s">
        <v>6</v>
      </c>
      <c r="F123" s="4">
        <v>103.77720000000001</v>
      </c>
      <c r="G123" s="31"/>
      <c r="H123" s="8">
        <f t="shared" si="42"/>
        <v>1</v>
      </c>
      <c r="I123" s="9">
        <f t="shared" si="47"/>
        <v>103.77720000000001</v>
      </c>
      <c r="J123" s="34"/>
      <c r="K123" s="6">
        <f t="shared" si="44"/>
        <v>0</v>
      </c>
      <c r="L123" s="33">
        <f t="shared" si="48"/>
        <v>0</v>
      </c>
      <c r="M123" s="33">
        <f t="shared" si="49"/>
        <v>0</v>
      </c>
    </row>
    <row r="124" spans="1:13" ht="15.75" customHeight="1" x14ac:dyDescent="0.25">
      <c r="A124" s="37" t="s">
        <v>235</v>
      </c>
      <c r="B124" s="30"/>
      <c r="C124" s="2" t="s">
        <v>94</v>
      </c>
      <c r="D124" s="3" t="s">
        <v>18</v>
      </c>
      <c r="E124" s="3" t="s">
        <v>28</v>
      </c>
      <c r="F124" s="4">
        <v>29.656800000000004</v>
      </c>
      <c r="G124" s="31"/>
      <c r="H124" s="8">
        <f t="shared" si="42"/>
        <v>1</v>
      </c>
      <c r="I124" s="9">
        <f t="shared" si="47"/>
        <v>29.656800000000004</v>
      </c>
      <c r="J124" s="34"/>
      <c r="K124" s="6">
        <f t="shared" si="44"/>
        <v>0</v>
      </c>
      <c r="L124" s="33">
        <f t="shared" si="48"/>
        <v>0</v>
      </c>
      <c r="M124" s="33">
        <f t="shared" si="49"/>
        <v>0</v>
      </c>
    </row>
    <row r="125" spans="1:13" ht="15.75" customHeight="1" x14ac:dyDescent="0.25">
      <c r="A125" s="37" t="s">
        <v>235</v>
      </c>
      <c r="B125" s="30"/>
      <c r="C125" s="2" t="s">
        <v>95</v>
      </c>
      <c r="D125" s="3" t="s">
        <v>22</v>
      </c>
      <c r="E125" s="3" t="s">
        <v>23</v>
      </c>
      <c r="F125" s="4">
        <v>3320.8056000000006</v>
      </c>
      <c r="G125" s="31"/>
      <c r="H125" s="8">
        <f t="shared" si="42"/>
        <v>1</v>
      </c>
      <c r="I125" s="9">
        <f t="shared" si="47"/>
        <v>3320.8056000000006</v>
      </c>
      <c r="J125" s="34"/>
      <c r="K125" s="6">
        <f t="shared" si="44"/>
        <v>0</v>
      </c>
      <c r="L125" s="33">
        <f t="shared" si="48"/>
        <v>0</v>
      </c>
      <c r="M125" s="33">
        <f t="shared" si="49"/>
        <v>0</v>
      </c>
    </row>
    <row r="126" spans="1:13" ht="15.75" customHeight="1" x14ac:dyDescent="0.25">
      <c r="A126" s="37" t="s">
        <v>235</v>
      </c>
      <c r="B126" s="30"/>
      <c r="C126" s="2" t="s">
        <v>95</v>
      </c>
      <c r="D126" s="3" t="s">
        <v>3</v>
      </c>
      <c r="E126" s="3" t="s">
        <v>4</v>
      </c>
      <c r="F126" s="4">
        <v>332.07840000000004</v>
      </c>
      <c r="G126" s="31"/>
      <c r="H126" s="8">
        <f t="shared" si="42"/>
        <v>1</v>
      </c>
      <c r="I126" s="9">
        <f t="shared" si="47"/>
        <v>332.07840000000004</v>
      </c>
      <c r="J126" s="34"/>
      <c r="K126" s="6">
        <f t="shared" si="44"/>
        <v>0</v>
      </c>
      <c r="L126" s="33">
        <f t="shared" si="48"/>
        <v>0</v>
      </c>
      <c r="M126" s="33">
        <f t="shared" si="49"/>
        <v>0</v>
      </c>
    </row>
    <row r="127" spans="1:13" ht="15.75" customHeight="1" x14ac:dyDescent="0.25">
      <c r="A127" s="37" t="s">
        <v>235</v>
      </c>
      <c r="B127" s="30"/>
      <c r="C127" s="2" t="s">
        <v>95</v>
      </c>
      <c r="D127" s="3" t="s">
        <v>5</v>
      </c>
      <c r="E127" s="3" t="s">
        <v>6</v>
      </c>
      <c r="F127" s="4">
        <v>83.019600000000011</v>
      </c>
      <c r="G127" s="31"/>
      <c r="H127" s="8">
        <f t="shared" si="42"/>
        <v>1</v>
      </c>
      <c r="I127" s="9">
        <f t="shared" si="47"/>
        <v>83.019600000000011</v>
      </c>
      <c r="J127" s="34"/>
      <c r="K127" s="6">
        <f t="shared" si="44"/>
        <v>0</v>
      </c>
      <c r="L127" s="33">
        <f t="shared" si="48"/>
        <v>0</v>
      </c>
      <c r="M127" s="33">
        <f t="shared" si="49"/>
        <v>0</v>
      </c>
    </row>
    <row r="128" spans="1:13" ht="15.75" customHeight="1" x14ac:dyDescent="0.25">
      <c r="A128" s="37" t="s">
        <v>235</v>
      </c>
      <c r="B128" s="30"/>
      <c r="C128" s="2" t="s">
        <v>95</v>
      </c>
      <c r="D128" s="3" t="s">
        <v>18</v>
      </c>
      <c r="E128" s="3" t="s">
        <v>28</v>
      </c>
      <c r="F128" s="4">
        <v>23.727599999999999</v>
      </c>
      <c r="G128" s="31"/>
      <c r="H128" s="8">
        <f t="shared" si="42"/>
        <v>1</v>
      </c>
      <c r="I128" s="9">
        <f t="shared" si="47"/>
        <v>23.727599999999999</v>
      </c>
      <c r="J128" s="34"/>
      <c r="K128" s="6">
        <f t="shared" si="44"/>
        <v>0</v>
      </c>
      <c r="L128" s="33">
        <f t="shared" si="48"/>
        <v>0</v>
      </c>
      <c r="M128" s="33">
        <f t="shared" si="49"/>
        <v>0</v>
      </c>
    </row>
    <row r="129" spans="1:13" ht="15.75" customHeight="1" x14ac:dyDescent="0.25">
      <c r="A129" s="37" t="s">
        <v>235</v>
      </c>
      <c r="B129" s="30"/>
      <c r="C129" s="2" t="s">
        <v>96</v>
      </c>
      <c r="D129" s="3" t="s">
        <v>3</v>
      </c>
      <c r="E129" s="3" t="s">
        <v>4</v>
      </c>
      <c r="F129" s="4">
        <v>385.2</v>
      </c>
      <c r="G129" s="31"/>
      <c r="H129" s="8">
        <f t="shared" si="42"/>
        <v>1</v>
      </c>
      <c r="I129" s="9">
        <f t="shared" si="47"/>
        <v>385.2</v>
      </c>
      <c r="J129" s="34"/>
      <c r="K129" s="6">
        <f t="shared" si="44"/>
        <v>0</v>
      </c>
      <c r="L129" s="33">
        <f t="shared" si="48"/>
        <v>0</v>
      </c>
      <c r="M129" s="33">
        <f t="shared" si="49"/>
        <v>0</v>
      </c>
    </row>
    <row r="130" spans="1:13" ht="15.75" customHeight="1" x14ac:dyDescent="0.25">
      <c r="A130" s="37" t="s">
        <v>235</v>
      </c>
      <c r="B130" s="30"/>
      <c r="C130" s="2" t="s">
        <v>96</v>
      </c>
      <c r="D130" s="3" t="s">
        <v>5</v>
      </c>
      <c r="E130" s="3" t="s">
        <v>6</v>
      </c>
      <c r="F130" s="4">
        <v>91.32</v>
      </c>
      <c r="G130" s="31"/>
      <c r="H130" s="8">
        <f t="shared" si="42"/>
        <v>1</v>
      </c>
      <c r="I130" s="9">
        <f t="shared" si="47"/>
        <v>91.32</v>
      </c>
      <c r="J130" s="34"/>
      <c r="K130" s="6">
        <f t="shared" si="44"/>
        <v>0</v>
      </c>
      <c r="L130" s="33">
        <f t="shared" si="48"/>
        <v>0</v>
      </c>
      <c r="M130" s="33">
        <f t="shared" si="49"/>
        <v>0</v>
      </c>
    </row>
    <row r="131" spans="1:13" ht="15.75" customHeight="1" x14ac:dyDescent="0.25">
      <c r="A131" s="37" t="s">
        <v>235</v>
      </c>
      <c r="B131" s="30"/>
      <c r="C131" s="2" t="s">
        <v>97</v>
      </c>
      <c r="D131" s="3" t="s">
        <v>3</v>
      </c>
      <c r="E131" s="3" t="s">
        <v>4</v>
      </c>
      <c r="F131" s="4">
        <v>459.89640000000003</v>
      </c>
      <c r="G131" s="31"/>
      <c r="H131" s="8">
        <f t="shared" si="42"/>
        <v>1</v>
      </c>
      <c r="I131" s="9">
        <f t="shared" si="47"/>
        <v>459.89640000000003</v>
      </c>
      <c r="J131" s="34"/>
      <c r="K131" s="6">
        <f t="shared" si="44"/>
        <v>0</v>
      </c>
      <c r="L131" s="33">
        <f t="shared" si="48"/>
        <v>0</v>
      </c>
      <c r="M131" s="33">
        <f t="shared" si="49"/>
        <v>0</v>
      </c>
    </row>
    <row r="132" spans="1:13" ht="15.75" customHeight="1" x14ac:dyDescent="0.25">
      <c r="A132" s="37" t="s">
        <v>235</v>
      </c>
      <c r="B132" s="30"/>
      <c r="C132" s="2" t="s">
        <v>97</v>
      </c>
      <c r="D132" s="3" t="s">
        <v>5</v>
      </c>
      <c r="E132" s="3" t="s">
        <v>6</v>
      </c>
      <c r="F132" s="4">
        <v>114.9768</v>
      </c>
      <c r="G132" s="31"/>
      <c r="H132" s="8">
        <f t="shared" si="42"/>
        <v>1</v>
      </c>
      <c r="I132" s="9">
        <f t="shared" si="47"/>
        <v>114.9768</v>
      </c>
      <c r="J132" s="34"/>
      <c r="K132" s="6">
        <f t="shared" si="44"/>
        <v>0</v>
      </c>
      <c r="L132" s="33">
        <f t="shared" si="48"/>
        <v>0</v>
      </c>
      <c r="M132" s="33">
        <f t="shared" si="49"/>
        <v>0</v>
      </c>
    </row>
    <row r="133" spans="1:13" ht="15.75" customHeight="1" x14ac:dyDescent="0.25">
      <c r="A133" s="37" t="s">
        <v>235</v>
      </c>
      <c r="B133" s="30"/>
      <c r="C133" s="2" t="s">
        <v>97</v>
      </c>
      <c r="D133" s="3" t="s">
        <v>18</v>
      </c>
      <c r="E133" s="3" t="s">
        <v>28</v>
      </c>
      <c r="F133" s="4">
        <v>32.853600000000007</v>
      </c>
      <c r="G133" s="31"/>
      <c r="H133" s="8">
        <f t="shared" si="42"/>
        <v>1</v>
      </c>
      <c r="I133" s="9">
        <f t="shared" si="47"/>
        <v>32.853600000000007</v>
      </c>
      <c r="J133" s="34"/>
      <c r="K133" s="6">
        <f t="shared" si="44"/>
        <v>0</v>
      </c>
      <c r="L133" s="33">
        <f t="shared" si="48"/>
        <v>0</v>
      </c>
      <c r="M133" s="33">
        <f t="shared" si="49"/>
        <v>0</v>
      </c>
    </row>
    <row r="134" spans="1:13" ht="15.75" customHeight="1" x14ac:dyDescent="0.25">
      <c r="A134" s="37" t="s">
        <v>235</v>
      </c>
      <c r="B134" s="30"/>
      <c r="C134" s="2" t="s">
        <v>98</v>
      </c>
      <c r="D134" s="3" t="s">
        <v>22</v>
      </c>
      <c r="E134" s="3" t="s">
        <v>23</v>
      </c>
      <c r="F134" s="4">
        <v>4129.866</v>
      </c>
      <c r="G134" s="31"/>
      <c r="H134" s="8">
        <f t="shared" si="42"/>
        <v>1</v>
      </c>
      <c r="I134" s="9">
        <f t="shared" si="47"/>
        <v>4129.866</v>
      </c>
      <c r="J134" s="34"/>
      <c r="K134" s="6">
        <f t="shared" si="44"/>
        <v>0</v>
      </c>
      <c r="L134" s="33">
        <f t="shared" si="48"/>
        <v>0</v>
      </c>
      <c r="M134" s="33">
        <f t="shared" si="49"/>
        <v>0</v>
      </c>
    </row>
    <row r="135" spans="1:13" ht="15.75" customHeight="1" x14ac:dyDescent="0.25">
      <c r="A135" s="37" t="s">
        <v>235</v>
      </c>
      <c r="B135" s="30"/>
      <c r="C135" s="2" t="s">
        <v>98</v>
      </c>
      <c r="D135" s="3" t="s">
        <v>3</v>
      </c>
      <c r="E135" s="3" t="s">
        <v>4</v>
      </c>
      <c r="F135" s="4">
        <v>412.99200000000002</v>
      </c>
      <c r="G135" s="31"/>
      <c r="H135" s="8">
        <f t="shared" si="42"/>
        <v>1</v>
      </c>
      <c r="I135" s="9">
        <f t="shared" si="47"/>
        <v>412.99200000000002</v>
      </c>
      <c r="J135" s="34"/>
      <c r="K135" s="6">
        <f t="shared" si="44"/>
        <v>0</v>
      </c>
      <c r="L135" s="33">
        <f t="shared" si="48"/>
        <v>0</v>
      </c>
      <c r="M135" s="33">
        <f t="shared" si="49"/>
        <v>0</v>
      </c>
    </row>
    <row r="136" spans="1:13" ht="15.75" customHeight="1" x14ac:dyDescent="0.25">
      <c r="A136" s="37" t="s">
        <v>235</v>
      </c>
      <c r="B136" s="30"/>
      <c r="C136" s="2" t="s">
        <v>98</v>
      </c>
      <c r="D136" s="3" t="s">
        <v>5</v>
      </c>
      <c r="E136" s="3" t="s">
        <v>6</v>
      </c>
      <c r="F136" s="4">
        <v>103.248</v>
      </c>
      <c r="G136" s="31"/>
      <c r="H136" s="8">
        <f t="shared" si="42"/>
        <v>1</v>
      </c>
      <c r="I136" s="9">
        <f t="shared" si="47"/>
        <v>103.248</v>
      </c>
      <c r="J136" s="34"/>
      <c r="K136" s="6">
        <f t="shared" si="44"/>
        <v>0</v>
      </c>
      <c r="L136" s="33">
        <f t="shared" si="48"/>
        <v>0</v>
      </c>
      <c r="M136" s="33">
        <f t="shared" si="49"/>
        <v>0</v>
      </c>
    </row>
    <row r="137" spans="1:13" ht="15.75" customHeight="1" x14ac:dyDescent="0.25">
      <c r="A137" s="37" t="s">
        <v>235</v>
      </c>
      <c r="B137" s="30"/>
      <c r="C137" s="2" t="s">
        <v>98</v>
      </c>
      <c r="D137" s="3" t="s">
        <v>18</v>
      </c>
      <c r="E137" s="3" t="s">
        <v>28</v>
      </c>
      <c r="F137" s="4">
        <v>29.505600000000001</v>
      </c>
      <c r="G137" s="31"/>
      <c r="H137" s="8">
        <f t="shared" si="42"/>
        <v>1</v>
      </c>
      <c r="I137" s="9">
        <f t="shared" si="47"/>
        <v>29.505600000000001</v>
      </c>
      <c r="J137" s="34"/>
      <c r="K137" s="6">
        <f t="shared" si="44"/>
        <v>0</v>
      </c>
      <c r="L137" s="33">
        <f t="shared" si="48"/>
        <v>0</v>
      </c>
      <c r="M137" s="33">
        <f t="shared" si="49"/>
        <v>0</v>
      </c>
    </row>
    <row r="138" spans="1:13" ht="18.75" x14ac:dyDescent="0.3">
      <c r="A138" s="37" t="s">
        <v>234</v>
      </c>
      <c r="B138" s="22"/>
      <c r="C138" s="13" t="s">
        <v>117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23"/>
    </row>
    <row r="139" spans="1:13" ht="38.25" customHeight="1" x14ac:dyDescent="0.25">
      <c r="A139" s="37" t="s">
        <v>232</v>
      </c>
      <c r="B139" s="27" t="s">
        <v>35</v>
      </c>
      <c r="C139" s="28" t="s">
        <v>0</v>
      </c>
      <c r="D139" s="28" t="s">
        <v>1</v>
      </c>
      <c r="E139" s="28" t="s">
        <v>2</v>
      </c>
      <c r="F139" s="29" t="s">
        <v>40</v>
      </c>
      <c r="G139" s="16" t="s">
        <v>41</v>
      </c>
      <c r="H139" s="16" t="s">
        <v>36</v>
      </c>
      <c r="I139" s="18" t="s">
        <v>41</v>
      </c>
      <c r="J139" s="18" t="s">
        <v>36</v>
      </c>
      <c r="K139" s="14" t="s">
        <v>43</v>
      </c>
      <c r="L139" s="16" t="s">
        <v>42</v>
      </c>
      <c r="M139" s="18" t="s">
        <v>42</v>
      </c>
    </row>
    <row r="140" spans="1:13" x14ac:dyDescent="0.25">
      <c r="A140" s="37" t="s">
        <v>236</v>
      </c>
      <c r="B140" s="35"/>
      <c r="C140" s="35" t="s">
        <v>118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1:13" ht="15.75" customHeight="1" x14ac:dyDescent="0.25">
      <c r="A141" s="37" t="s">
        <v>235</v>
      </c>
      <c r="B141" s="30"/>
      <c r="C141" s="2" t="s">
        <v>124</v>
      </c>
      <c r="D141" s="3" t="s">
        <v>22</v>
      </c>
      <c r="E141" s="3" t="s">
        <v>23</v>
      </c>
      <c r="F141" s="4">
        <v>5448.38</v>
      </c>
      <c r="G141" s="31"/>
      <c r="H141" s="8">
        <f t="shared" ref="H141:H156" si="55">-(G141/F141)+1</f>
        <v>1</v>
      </c>
      <c r="I141" s="9">
        <f t="shared" ref="I141:I152" si="56">F141*(1-J141)</f>
        <v>5448.38</v>
      </c>
      <c r="J141" s="34"/>
      <c r="K141" s="6">
        <f t="shared" ref="K141:K156" si="57">B141*F141</f>
        <v>0</v>
      </c>
      <c r="L141" s="33">
        <f t="shared" ref="L141:L152" si="58">B141*G141</f>
        <v>0</v>
      </c>
      <c r="M141" s="33">
        <f t="shared" ref="M141:M152" si="59">B141*I141</f>
        <v>0</v>
      </c>
    </row>
    <row r="142" spans="1:13" ht="15.75" customHeight="1" x14ac:dyDescent="0.25">
      <c r="A142" s="37" t="s">
        <v>235</v>
      </c>
      <c r="B142" s="30"/>
      <c r="C142" s="2" t="s">
        <v>124</v>
      </c>
      <c r="D142" s="3" t="s">
        <v>3</v>
      </c>
      <c r="E142" s="3" t="s">
        <v>4</v>
      </c>
      <c r="F142" s="4">
        <v>544.83840000000009</v>
      </c>
      <c r="G142" s="31"/>
      <c r="H142" s="8">
        <f t="shared" si="55"/>
        <v>1</v>
      </c>
      <c r="I142" s="9">
        <f t="shared" si="56"/>
        <v>544.83840000000009</v>
      </c>
      <c r="J142" s="34"/>
      <c r="K142" s="6">
        <f t="shared" si="57"/>
        <v>0</v>
      </c>
      <c r="L142" s="33">
        <f t="shared" si="58"/>
        <v>0</v>
      </c>
      <c r="M142" s="33">
        <f t="shared" si="59"/>
        <v>0</v>
      </c>
    </row>
    <row r="143" spans="1:13" ht="15.75" customHeight="1" x14ac:dyDescent="0.25">
      <c r="A143" s="37" t="s">
        <v>235</v>
      </c>
      <c r="B143" s="30"/>
      <c r="C143" s="2" t="s">
        <v>124</v>
      </c>
      <c r="D143" s="3" t="s">
        <v>5</v>
      </c>
      <c r="E143" s="3" t="s">
        <v>6</v>
      </c>
      <c r="F143" s="4">
        <v>134.20080000000002</v>
      </c>
      <c r="G143" s="31"/>
      <c r="H143" s="8">
        <f t="shared" si="55"/>
        <v>1</v>
      </c>
      <c r="I143" s="9">
        <f t="shared" si="56"/>
        <v>134.20080000000002</v>
      </c>
      <c r="J143" s="34"/>
      <c r="K143" s="6">
        <f t="shared" si="57"/>
        <v>0</v>
      </c>
      <c r="L143" s="33">
        <f t="shared" si="58"/>
        <v>0</v>
      </c>
      <c r="M143" s="33">
        <f t="shared" si="59"/>
        <v>0</v>
      </c>
    </row>
    <row r="144" spans="1:13" ht="15.75" customHeight="1" x14ac:dyDescent="0.25">
      <c r="A144" s="37" t="s">
        <v>235</v>
      </c>
      <c r="B144" s="30"/>
      <c r="C144" s="2" t="s">
        <v>124</v>
      </c>
      <c r="D144" s="3" t="s">
        <v>18</v>
      </c>
      <c r="E144" s="3" t="s">
        <v>28</v>
      </c>
      <c r="F144" s="4">
        <v>38.912400000000005</v>
      </c>
      <c r="G144" s="31"/>
      <c r="H144" s="8">
        <f t="shared" si="55"/>
        <v>1</v>
      </c>
      <c r="I144" s="9">
        <f t="shared" si="56"/>
        <v>38.912400000000005</v>
      </c>
      <c r="J144" s="34"/>
      <c r="K144" s="6">
        <f t="shared" si="57"/>
        <v>0</v>
      </c>
      <c r="L144" s="33">
        <f t="shared" si="58"/>
        <v>0</v>
      </c>
      <c r="M144" s="33">
        <f t="shared" si="59"/>
        <v>0</v>
      </c>
    </row>
    <row r="145" spans="1:13" ht="15.75" customHeight="1" x14ac:dyDescent="0.25">
      <c r="A145" s="37" t="s">
        <v>235</v>
      </c>
      <c r="B145" s="30"/>
      <c r="C145" s="2" t="s">
        <v>123</v>
      </c>
      <c r="D145" s="3" t="s">
        <v>22</v>
      </c>
      <c r="E145" s="3" t="s">
        <v>23</v>
      </c>
      <c r="F145" s="4">
        <v>5939.2548000000006</v>
      </c>
      <c r="G145" s="31"/>
      <c r="H145" s="8">
        <f t="shared" si="55"/>
        <v>1</v>
      </c>
      <c r="I145" s="9">
        <f t="shared" si="56"/>
        <v>5939.2548000000006</v>
      </c>
      <c r="J145" s="34"/>
      <c r="K145" s="6">
        <f t="shared" si="57"/>
        <v>0</v>
      </c>
      <c r="L145" s="33">
        <f t="shared" si="58"/>
        <v>0</v>
      </c>
      <c r="M145" s="33">
        <f t="shared" si="59"/>
        <v>0</v>
      </c>
    </row>
    <row r="146" spans="1:13" ht="15.75" customHeight="1" x14ac:dyDescent="0.25">
      <c r="A146" s="37" t="s">
        <v>235</v>
      </c>
      <c r="B146" s="30"/>
      <c r="C146" s="2" t="s">
        <v>123</v>
      </c>
      <c r="D146" s="3" t="s">
        <v>3</v>
      </c>
      <c r="E146" s="3" t="s">
        <v>4</v>
      </c>
      <c r="F146" s="4">
        <v>593.92439999999999</v>
      </c>
      <c r="G146" s="31"/>
      <c r="H146" s="8">
        <f t="shared" si="55"/>
        <v>1</v>
      </c>
      <c r="I146" s="9">
        <f t="shared" si="56"/>
        <v>593.92439999999999</v>
      </c>
      <c r="J146" s="34"/>
      <c r="K146" s="6">
        <f t="shared" si="57"/>
        <v>0</v>
      </c>
      <c r="L146" s="33">
        <f t="shared" si="58"/>
        <v>0</v>
      </c>
      <c r="M146" s="33">
        <f t="shared" si="59"/>
        <v>0</v>
      </c>
    </row>
    <row r="147" spans="1:13" ht="15.75" customHeight="1" x14ac:dyDescent="0.25">
      <c r="A147" s="37" t="s">
        <v>235</v>
      </c>
      <c r="B147" s="30"/>
      <c r="C147" s="2" t="s">
        <v>123</v>
      </c>
      <c r="D147" s="3" t="s">
        <v>5</v>
      </c>
      <c r="E147" s="3" t="s">
        <v>6</v>
      </c>
      <c r="F147" s="4">
        <v>148.48920000000001</v>
      </c>
      <c r="G147" s="31"/>
      <c r="H147" s="8">
        <f t="shared" si="55"/>
        <v>1</v>
      </c>
      <c r="I147" s="9">
        <f t="shared" si="56"/>
        <v>148.48920000000001</v>
      </c>
      <c r="J147" s="34"/>
      <c r="K147" s="6">
        <f t="shared" si="57"/>
        <v>0</v>
      </c>
      <c r="L147" s="33">
        <f t="shared" si="58"/>
        <v>0</v>
      </c>
      <c r="M147" s="33">
        <f t="shared" si="59"/>
        <v>0</v>
      </c>
    </row>
    <row r="148" spans="1:13" ht="15.75" customHeight="1" x14ac:dyDescent="0.25">
      <c r="A148" s="37" t="s">
        <v>235</v>
      </c>
      <c r="B148" s="30"/>
      <c r="C148" s="2" t="s">
        <v>123</v>
      </c>
      <c r="D148" s="3" t="s">
        <v>18</v>
      </c>
      <c r="E148" s="3" t="s">
        <v>28</v>
      </c>
      <c r="F148" s="4">
        <v>42.422400000000003</v>
      </c>
      <c r="G148" s="31"/>
      <c r="H148" s="8">
        <f t="shared" si="55"/>
        <v>1</v>
      </c>
      <c r="I148" s="9">
        <f t="shared" si="56"/>
        <v>42.422400000000003</v>
      </c>
      <c r="J148" s="34"/>
      <c r="K148" s="6">
        <f t="shared" si="57"/>
        <v>0</v>
      </c>
      <c r="L148" s="33">
        <f t="shared" si="58"/>
        <v>0</v>
      </c>
      <c r="M148" s="33">
        <f t="shared" si="59"/>
        <v>0</v>
      </c>
    </row>
    <row r="149" spans="1:13" ht="15.75" customHeight="1" x14ac:dyDescent="0.25">
      <c r="A149" s="37" t="s">
        <v>235</v>
      </c>
      <c r="B149" s="30"/>
      <c r="C149" s="2" t="s">
        <v>127</v>
      </c>
      <c r="D149" s="3" t="s">
        <v>22</v>
      </c>
      <c r="E149" s="3" t="s">
        <v>23</v>
      </c>
      <c r="F149" s="4">
        <v>6295.6123776000013</v>
      </c>
      <c r="G149" s="31"/>
      <c r="H149" s="8">
        <f t="shared" si="55"/>
        <v>1</v>
      </c>
      <c r="I149" s="9">
        <f t="shared" si="56"/>
        <v>6295.6123776000013</v>
      </c>
      <c r="J149" s="34"/>
      <c r="K149" s="6">
        <f t="shared" si="57"/>
        <v>0</v>
      </c>
      <c r="L149" s="33">
        <f t="shared" si="58"/>
        <v>0</v>
      </c>
      <c r="M149" s="33">
        <f t="shared" si="59"/>
        <v>0</v>
      </c>
    </row>
    <row r="150" spans="1:13" ht="15.75" customHeight="1" x14ac:dyDescent="0.25">
      <c r="A150" s="37" t="s">
        <v>235</v>
      </c>
      <c r="B150" s="30"/>
      <c r="C150" s="2" t="s">
        <v>127</v>
      </c>
      <c r="D150" s="3" t="s">
        <v>3</v>
      </c>
      <c r="E150" s="3" t="s">
        <v>4</v>
      </c>
      <c r="F150" s="4">
        <v>629.56123776000004</v>
      </c>
      <c r="G150" s="31"/>
      <c r="H150" s="8">
        <f t="shared" si="55"/>
        <v>1</v>
      </c>
      <c r="I150" s="9">
        <f t="shared" si="56"/>
        <v>629.56123776000004</v>
      </c>
      <c r="J150" s="34"/>
      <c r="K150" s="6">
        <f t="shared" si="57"/>
        <v>0</v>
      </c>
      <c r="L150" s="33">
        <f t="shared" si="58"/>
        <v>0</v>
      </c>
      <c r="M150" s="33">
        <f t="shared" si="59"/>
        <v>0</v>
      </c>
    </row>
    <row r="151" spans="1:13" ht="15.75" customHeight="1" x14ac:dyDescent="0.25">
      <c r="A151" s="37" t="s">
        <v>235</v>
      </c>
      <c r="B151" s="30"/>
      <c r="C151" s="2" t="s">
        <v>127</v>
      </c>
      <c r="D151" s="3" t="s">
        <v>5</v>
      </c>
      <c r="E151" s="3" t="s">
        <v>6</v>
      </c>
      <c r="F151" s="4">
        <v>157.4</v>
      </c>
      <c r="G151" s="31"/>
      <c r="H151" s="8">
        <f t="shared" si="55"/>
        <v>1</v>
      </c>
      <c r="I151" s="9">
        <f t="shared" si="56"/>
        <v>157.4</v>
      </c>
      <c r="J151" s="34"/>
      <c r="K151" s="6">
        <f t="shared" si="57"/>
        <v>0</v>
      </c>
      <c r="L151" s="33">
        <f t="shared" si="58"/>
        <v>0</v>
      </c>
      <c r="M151" s="33">
        <f t="shared" si="59"/>
        <v>0</v>
      </c>
    </row>
    <row r="152" spans="1:13" ht="15.75" customHeight="1" x14ac:dyDescent="0.25">
      <c r="A152" s="37" t="s">
        <v>235</v>
      </c>
      <c r="B152" s="30"/>
      <c r="C152" s="2" t="s">
        <v>127</v>
      </c>
      <c r="D152" s="3" t="s">
        <v>18</v>
      </c>
      <c r="E152" s="3" t="s">
        <v>28</v>
      </c>
      <c r="F152" s="4">
        <v>44.968659840000001</v>
      </c>
      <c r="G152" s="31"/>
      <c r="H152" s="8">
        <f t="shared" si="55"/>
        <v>1</v>
      </c>
      <c r="I152" s="9">
        <f t="shared" si="56"/>
        <v>44.968659840000001</v>
      </c>
      <c r="J152" s="34"/>
      <c r="K152" s="6">
        <f t="shared" si="57"/>
        <v>0</v>
      </c>
      <c r="L152" s="33">
        <f t="shared" si="58"/>
        <v>0</v>
      </c>
      <c r="M152" s="33">
        <f t="shared" si="59"/>
        <v>0</v>
      </c>
    </row>
    <row r="153" spans="1:13" ht="45" customHeight="1" x14ac:dyDescent="0.25">
      <c r="A153" s="37" t="s">
        <v>236</v>
      </c>
      <c r="B153" s="36"/>
      <c r="C153" s="36" t="s">
        <v>120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</row>
    <row r="154" spans="1:13" ht="15.75" customHeight="1" x14ac:dyDescent="0.25">
      <c r="A154" s="37" t="s">
        <v>235</v>
      </c>
      <c r="B154" s="30"/>
      <c r="C154" s="2" t="s">
        <v>119</v>
      </c>
      <c r="D154" s="3" t="s">
        <v>22</v>
      </c>
      <c r="E154" s="3" t="s">
        <v>23</v>
      </c>
      <c r="F154" s="4">
        <v>4903.3188</v>
      </c>
      <c r="G154" s="31"/>
      <c r="H154" s="8">
        <f t="shared" si="55"/>
        <v>1</v>
      </c>
      <c r="I154" s="9">
        <f t="shared" ref="I154:I165" si="60">F154*(1-J154)</f>
        <v>4903.3188</v>
      </c>
      <c r="J154" s="34"/>
      <c r="K154" s="6">
        <f t="shared" si="57"/>
        <v>0</v>
      </c>
      <c r="L154" s="33">
        <f t="shared" ref="L154:L165" si="61">B154*G154</f>
        <v>0</v>
      </c>
      <c r="M154" s="33">
        <f t="shared" ref="M154:M165" si="62">B154*I154</f>
        <v>0</v>
      </c>
    </row>
    <row r="155" spans="1:13" ht="15.75" customHeight="1" x14ac:dyDescent="0.25">
      <c r="A155" s="37" t="s">
        <v>235</v>
      </c>
      <c r="B155" s="30"/>
      <c r="C155" s="2" t="s">
        <v>119</v>
      </c>
      <c r="D155" s="3" t="s">
        <v>3</v>
      </c>
      <c r="E155" s="3" t="s">
        <v>4</v>
      </c>
      <c r="F155" s="4">
        <v>490.33134864000004</v>
      </c>
      <c r="G155" s="31"/>
      <c r="H155" s="8">
        <f t="shared" si="55"/>
        <v>1</v>
      </c>
      <c r="I155" s="9">
        <f t="shared" si="60"/>
        <v>490.33134864000004</v>
      </c>
      <c r="J155" s="34"/>
      <c r="K155" s="6">
        <f t="shared" si="57"/>
        <v>0</v>
      </c>
      <c r="L155" s="33">
        <f t="shared" si="61"/>
        <v>0</v>
      </c>
      <c r="M155" s="33">
        <f t="shared" si="62"/>
        <v>0</v>
      </c>
    </row>
    <row r="156" spans="1:13" ht="15.75" customHeight="1" x14ac:dyDescent="0.25">
      <c r="A156" s="37" t="s">
        <v>235</v>
      </c>
      <c r="B156" s="30"/>
      <c r="C156" s="2" t="s">
        <v>119</v>
      </c>
      <c r="D156" s="3" t="s">
        <v>5</v>
      </c>
      <c r="E156" s="3" t="s">
        <v>6</v>
      </c>
      <c r="F156" s="4">
        <v>122.58283716000001</v>
      </c>
      <c r="G156" s="31"/>
      <c r="H156" s="8">
        <f t="shared" si="55"/>
        <v>1</v>
      </c>
      <c r="I156" s="9">
        <f t="shared" si="60"/>
        <v>122.58283716000001</v>
      </c>
      <c r="J156" s="34"/>
      <c r="K156" s="6">
        <f t="shared" si="57"/>
        <v>0</v>
      </c>
      <c r="L156" s="33">
        <f t="shared" si="61"/>
        <v>0</v>
      </c>
      <c r="M156" s="33">
        <f t="shared" si="62"/>
        <v>0</v>
      </c>
    </row>
    <row r="157" spans="1:13" ht="15.75" customHeight="1" x14ac:dyDescent="0.25">
      <c r="A157" s="37" t="s">
        <v>235</v>
      </c>
      <c r="B157" s="30"/>
      <c r="C157" s="2" t="s">
        <v>119</v>
      </c>
      <c r="D157" s="3" t="s">
        <v>18</v>
      </c>
      <c r="E157" s="3" t="s">
        <v>28</v>
      </c>
      <c r="F157" s="4">
        <v>35.023667760000002</v>
      </c>
      <c r="G157" s="31"/>
      <c r="H157" s="8">
        <f>-(G157/F157)+1</f>
        <v>1</v>
      </c>
      <c r="I157" s="9">
        <f t="shared" si="60"/>
        <v>35.023667760000002</v>
      </c>
      <c r="J157" s="34"/>
      <c r="K157" s="6">
        <f>B157*F157</f>
        <v>0</v>
      </c>
      <c r="L157" s="33">
        <f t="shared" si="61"/>
        <v>0</v>
      </c>
      <c r="M157" s="33">
        <f t="shared" si="62"/>
        <v>0</v>
      </c>
    </row>
    <row r="158" spans="1:13" ht="15.75" customHeight="1" x14ac:dyDescent="0.25">
      <c r="A158" s="37" t="s">
        <v>235</v>
      </c>
      <c r="B158" s="30"/>
      <c r="C158" s="2" t="s">
        <v>125</v>
      </c>
      <c r="D158" s="3" t="s">
        <v>22</v>
      </c>
      <c r="E158" s="3" t="s">
        <v>23</v>
      </c>
      <c r="F158" s="4">
        <v>5345.3304000000007</v>
      </c>
      <c r="G158" s="31"/>
      <c r="H158" s="8">
        <f t="shared" ref="H158:H165" si="63">-(G158/F158)+1</f>
        <v>1</v>
      </c>
      <c r="I158" s="9">
        <f t="shared" si="60"/>
        <v>5345.3304000000007</v>
      </c>
      <c r="J158" s="34"/>
      <c r="K158" s="6">
        <f t="shared" ref="K158:K165" si="64">B158*F158</f>
        <v>0</v>
      </c>
      <c r="L158" s="33">
        <f t="shared" si="61"/>
        <v>0</v>
      </c>
      <c r="M158" s="33">
        <f t="shared" si="62"/>
        <v>0</v>
      </c>
    </row>
    <row r="159" spans="1:13" ht="15.75" customHeight="1" x14ac:dyDescent="0.25">
      <c r="A159" s="37" t="s">
        <v>235</v>
      </c>
      <c r="B159" s="30"/>
      <c r="C159" s="2" t="s">
        <v>125</v>
      </c>
      <c r="D159" s="3" t="s">
        <v>3</v>
      </c>
      <c r="E159" s="3" t="s">
        <v>4</v>
      </c>
      <c r="F159" s="4">
        <v>534.54</v>
      </c>
      <c r="G159" s="31"/>
      <c r="H159" s="8">
        <f t="shared" si="63"/>
        <v>1</v>
      </c>
      <c r="I159" s="9">
        <f t="shared" si="60"/>
        <v>534.54</v>
      </c>
      <c r="J159" s="34"/>
      <c r="K159" s="6">
        <f t="shared" si="64"/>
        <v>0</v>
      </c>
      <c r="L159" s="33">
        <f t="shared" si="61"/>
        <v>0</v>
      </c>
      <c r="M159" s="33">
        <f t="shared" si="62"/>
        <v>0</v>
      </c>
    </row>
    <row r="160" spans="1:13" ht="15.75" customHeight="1" x14ac:dyDescent="0.25">
      <c r="A160" s="37" t="s">
        <v>235</v>
      </c>
      <c r="B160" s="30"/>
      <c r="C160" s="2" t="s">
        <v>125</v>
      </c>
      <c r="D160" s="3" t="s">
        <v>5</v>
      </c>
      <c r="E160" s="3" t="s">
        <v>6</v>
      </c>
      <c r="F160" s="4">
        <v>133.63999999999999</v>
      </c>
      <c r="G160" s="31"/>
      <c r="H160" s="8">
        <f t="shared" si="63"/>
        <v>1</v>
      </c>
      <c r="I160" s="9">
        <f t="shared" si="60"/>
        <v>133.63999999999999</v>
      </c>
      <c r="J160" s="34"/>
      <c r="K160" s="6">
        <f t="shared" si="64"/>
        <v>0</v>
      </c>
      <c r="L160" s="33">
        <f t="shared" si="61"/>
        <v>0</v>
      </c>
      <c r="M160" s="33">
        <f t="shared" si="62"/>
        <v>0</v>
      </c>
    </row>
    <row r="161" spans="1:13" ht="15.75" customHeight="1" x14ac:dyDescent="0.25">
      <c r="A161" s="37" t="s">
        <v>235</v>
      </c>
      <c r="B161" s="30"/>
      <c r="C161" s="2" t="s">
        <v>125</v>
      </c>
      <c r="D161" s="3" t="s">
        <v>18</v>
      </c>
      <c r="E161" s="3" t="s">
        <v>28</v>
      </c>
      <c r="F161" s="4">
        <v>38.180937600000007</v>
      </c>
      <c r="G161" s="31"/>
      <c r="H161" s="8">
        <f t="shared" si="63"/>
        <v>1</v>
      </c>
      <c r="I161" s="9">
        <f t="shared" si="60"/>
        <v>38.180937600000007</v>
      </c>
      <c r="J161" s="34"/>
      <c r="K161" s="6">
        <f t="shared" si="64"/>
        <v>0</v>
      </c>
      <c r="L161" s="33">
        <f t="shared" si="61"/>
        <v>0</v>
      </c>
      <c r="M161" s="33">
        <f t="shared" si="62"/>
        <v>0</v>
      </c>
    </row>
    <row r="162" spans="1:13" ht="15.75" customHeight="1" x14ac:dyDescent="0.25">
      <c r="A162" s="37" t="s">
        <v>235</v>
      </c>
      <c r="B162" s="30"/>
      <c r="C162" s="2" t="s">
        <v>128</v>
      </c>
      <c r="D162" s="3" t="s">
        <v>22</v>
      </c>
      <c r="E162" s="3" t="s">
        <v>23</v>
      </c>
      <c r="F162" s="4">
        <v>5666.0472000000009</v>
      </c>
      <c r="G162" s="31"/>
      <c r="H162" s="8">
        <f t="shared" si="63"/>
        <v>1</v>
      </c>
      <c r="I162" s="9">
        <f t="shared" si="60"/>
        <v>5666.0472000000009</v>
      </c>
      <c r="J162" s="34"/>
      <c r="K162" s="6">
        <f t="shared" si="64"/>
        <v>0</v>
      </c>
      <c r="L162" s="33">
        <f t="shared" si="61"/>
        <v>0</v>
      </c>
      <c r="M162" s="33">
        <f t="shared" si="62"/>
        <v>0</v>
      </c>
    </row>
    <row r="163" spans="1:13" ht="15.75" customHeight="1" x14ac:dyDescent="0.25">
      <c r="A163" s="37" t="s">
        <v>235</v>
      </c>
      <c r="B163" s="30"/>
      <c r="C163" s="2" t="s">
        <v>128</v>
      </c>
      <c r="D163" s="3" t="s">
        <v>3</v>
      </c>
      <c r="E163" s="3" t="s">
        <v>4</v>
      </c>
      <c r="F163" s="4">
        <v>566.60511398400001</v>
      </c>
      <c r="G163" s="31"/>
      <c r="H163" s="8">
        <f t="shared" si="63"/>
        <v>1</v>
      </c>
      <c r="I163" s="9">
        <f t="shared" si="60"/>
        <v>566.60511398400001</v>
      </c>
      <c r="J163" s="34"/>
      <c r="K163" s="6">
        <f t="shared" si="64"/>
        <v>0</v>
      </c>
      <c r="L163" s="33">
        <f t="shared" si="61"/>
        <v>0</v>
      </c>
      <c r="M163" s="33">
        <f t="shared" si="62"/>
        <v>0</v>
      </c>
    </row>
    <row r="164" spans="1:13" ht="15.75" customHeight="1" x14ac:dyDescent="0.25">
      <c r="A164" s="37" t="s">
        <v>235</v>
      </c>
      <c r="B164" s="30"/>
      <c r="C164" s="2" t="s">
        <v>128</v>
      </c>
      <c r="D164" s="3" t="s">
        <v>5</v>
      </c>
      <c r="E164" s="3" t="s">
        <v>6</v>
      </c>
      <c r="F164" s="4">
        <v>141.63999999999999</v>
      </c>
      <c r="G164" s="31"/>
      <c r="H164" s="8">
        <f t="shared" si="63"/>
        <v>1</v>
      </c>
      <c r="I164" s="9">
        <f t="shared" si="60"/>
        <v>141.63999999999999</v>
      </c>
      <c r="J164" s="34"/>
      <c r="K164" s="6">
        <f t="shared" si="64"/>
        <v>0</v>
      </c>
      <c r="L164" s="33">
        <f t="shared" si="61"/>
        <v>0</v>
      </c>
      <c r="M164" s="33">
        <f t="shared" si="62"/>
        <v>0</v>
      </c>
    </row>
    <row r="165" spans="1:13" ht="15.75" customHeight="1" x14ac:dyDescent="0.25">
      <c r="A165" s="37" t="s">
        <v>235</v>
      </c>
      <c r="B165" s="30"/>
      <c r="C165" s="2" t="s">
        <v>128</v>
      </c>
      <c r="D165" s="3" t="s">
        <v>18</v>
      </c>
      <c r="E165" s="3" t="s">
        <v>28</v>
      </c>
      <c r="F165" s="4">
        <v>40.471793856000005</v>
      </c>
      <c r="G165" s="31"/>
      <c r="H165" s="8">
        <f t="shared" si="63"/>
        <v>1</v>
      </c>
      <c r="I165" s="9">
        <f t="shared" si="60"/>
        <v>40.471793856000005</v>
      </c>
      <c r="J165" s="34"/>
      <c r="K165" s="6">
        <f t="shared" si="64"/>
        <v>0</v>
      </c>
      <c r="L165" s="33">
        <f t="shared" si="61"/>
        <v>0</v>
      </c>
      <c r="M165" s="33">
        <f t="shared" si="62"/>
        <v>0</v>
      </c>
    </row>
    <row r="166" spans="1:13" ht="30" customHeight="1" x14ac:dyDescent="0.25">
      <c r="A166" s="37" t="s">
        <v>236</v>
      </c>
      <c r="B166" s="36"/>
      <c r="C166" s="36" t="s">
        <v>121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ht="15.75" customHeight="1" x14ac:dyDescent="0.25">
      <c r="A167" s="37" t="s">
        <v>235</v>
      </c>
      <c r="B167" s="30"/>
      <c r="C167" s="2" t="s">
        <v>122</v>
      </c>
      <c r="D167" s="3" t="s">
        <v>22</v>
      </c>
      <c r="E167" s="3" t="s">
        <v>23</v>
      </c>
      <c r="F167" s="4">
        <v>6101.9027999999998</v>
      </c>
      <c r="G167" s="31"/>
      <c r="H167" s="8">
        <f t="shared" ref="H167:H169" si="65">-(G167/F167)+1</f>
        <v>1</v>
      </c>
      <c r="I167" s="9">
        <f t="shared" ref="I167:I178" si="66">F167*(1-J167)</f>
        <v>6101.9027999999998</v>
      </c>
      <c r="J167" s="34"/>
      <c r="K167" s="6">
        <f t="shared" ref="K167:K169" si="67">B167*F167</f>
        <v>0</v>
      </c>
      <c r="L167" s="33">
        <f t="shared" ref="L167:L178" si="68">B167*G167</f>
        <v>0</v>
      </c>
      <c r="M167" s="33">
        <f t="shared" ref="M167:M178" si="69">B167*I167</f>
        <v>0</v>
      </c>
    </row>
    <row r="168" spans="1:13" ht="15.75" customHeight="1" x14ac:dyDescent="0.25">
      <c r="A168" s="37" t="s">
        <v>235</v>
      </c>
      <c r="B168" s="30"/>
      <c r="C168" s="2" t="s">
        <v>122</v>
      </c>
      <c r="D168" s="3" t="s">
        <v>3</v>
      </c>
      <c r="E168" s="3" t="s">
        <v>4</v>
      </c>
      <c r="F168" s="4">
        <v>610.19012275200021</v>
      </c>
      <c r="G168" s="31"/>
      <c r="H168" s="8">
        <f t="shared" si="65"/>
        <v>1</v>
      </c>
      <c r="I168" s="9">
        <f t="shared" si="66"/>
        <v>610.19012275200021</v>
      </c>
      <c r="J168" s="34"/>
      <c r="K168" s="6">
        <f t="shared" si="67"/>
        <v>0</v>
      </c>
      <c r="L168" s="33">
        <f t="shared" si="68"/>
        <v>0</v>
      </c>
      <c r="M168" s="33">
        <f t="shared" si="69"/>
        <v>0</v>
      </c>
    </row>
    <row r="169" spans="1:13" ht="15.75" customHeight="1" x14ac:dyDescent="0.25">
      <c r="A169" s="37" t="s">
        <v>235</v>
      </c>
      <c r="B169" s="30"/>
      <c r="C169" s="2" t="s">
        <v>122</v>
      </c>
      <c r="D169" s="3" t="s">
        <v>5</v>
      </c>
      <c r="E169" s="3" t="s">
        <v>6</v>
      </c>
      <c r="F169" s="4">
        <v>152.54753068800005</v>
      </c>
      <c r="G169" s="31"/>
      <c r="H169" s="8">
        <f t="shared" si="65"/>
        <v>1</v>
      </c>
      <c r="I169" s="9">
        <f t="shared" si="66"/>
        <v>152.54753068800005</v>
      </c>
      <c r="J169" s="34"/>
      <c r="K169" s="6">
        <f t="shared" si="67"/>
        <v>0</v>
      </c>
      <c r="L169" s="33">
        <f t="shared" si="68"/>
        <v>0</v>
      </c>
      <c r="M169" s="33">
        <f t="shared" si="69"/>
        <v>0</v>
      </c>
    </row>
    <row r="170" spans="1:13" ht="15.75" customHeight="1" x14ac:dyDescent="0.25">
      <c r="A170" s="37" t="s">
        <v>235</v>
      </c>
      <c r="B170" s="30"/>
      <c r="C170" s="2" t="s">
        <v>122</v>
      </c>
      <c r="D170" s="3" t="s">
        <v>18</v>
      </c>
      <c r="E170" s="3" t="s">
        <v>28</v>
      </c>
      <c r="F170" s="4">
        <v>43.58</v>
      </c>
      <c r="G170" s="31"/>
      <c r="H170" s="8">
        <f>-(G170/F170)+1</f>
        <v>1</v>
      </c>
      <c r="I170" s="9">
        <f t="shared" si="66"/>
        <v>43.58</v>
      </c>
      <c r="J170" s="34"/>
      <c r="K170" s="6">
        <f>B170*F170</f>
        <v>0</v>
      </c>
      <c r="L170" s="33">
        <f t="shared" si="68"/>
        <v>0</v>
      </c>
      <c r="M170" s="33">
        <f t="shared" si="69"/>
        <v>0</v>
      </c>
    </row>
    <row r="171" spans="1:13" ht="15.75" customHeight="1" x14ac:dyDescent="0.25">
      <c r="A171" s="37" t="s">
        <v>235</v>
      </c>
      <c r="B171" s="30"/>
      <c r="C171" s="2" t="s">
        <v>126</v>
      </c>
      <c r="D171" s="3" t="s">
        <v>22</v>
      </c>
      <c r="E171" s="3" t="s">
        <v>23</v>
      </c>
      <c r="F171" s="4">
        <v>6651.9683999999997</v>
      </c>
      <c r="G171" s="31"/>
      <c r="H171" s="8">
        <f t="shared" ref="H171:H178" si="70">-(G171/F171)+1</f>
        <v>1</v>
      </c>
      <c r="I171" s="9">
        <f t="shared" si="66"/>
        <v>6651.9683999999997</v>
      </c>
      <c r="J171" s="34"/>
      <c r="K171" s="6">
        <f t="shared" ref="K171:K178" si="71">B171*F171</f>
        <v>0</v>
      </c>
      <c r="L171" s="33">
        <f t="shared" si="68"/>
        <v>0</v>
      </c>
      <c r="M171" s="33">
        <f t="shared" si="69"/>
        <v>0</v>
      </c>
    </row>
    <row r="172" spans="1:13" ht="15.75" customHeight="1" x14ac:dyDescent="0.25">
      <c r="A172" s="37" t="s">
        <v>235</v>
      </c>
      <c r="B172" s="30"/>
      <c r="C172" s="2" t="s">
        <v>126</v>
      </c>
      <c r="D172" s="3" t="s">
        <v>3</v>
      </c>
      <c r="E172" s="3" t="s">
        <v>4</v>
      </c>
      <c r="F172" s="4">
        <v>665.19</v>
      </c>
      <c r="G172" s="31"/>
      <c r="H172" s="8">
        <f t="shared" si="70"/>
        <v>1</v>
      </c>
      <c r="I172" s="9">
        <f t="shared" si="66"/>
        <v>665.19</v>
      </c>
      <c r="J172" s="34"/>
      <c r="K172" s="6">
        <f t="shared" si="71"/>
        <v>0</v>
      </c>
      <c r="L172" s="33">
        <f t="shared" si="68"/>
        <v>0</v>
      </c>
      <c r="M172" s="33">
        <f t="shared" si="69"/>
        <v>0</v>
      </c>
    </row>
    <row r="173" spans="1:13" ht="15.75" customHeight="1" x14ac:dyDescent="0.25">
      <c r="A173" s="37" t="s">
        <v>235</v>
      </c>
      <c r="B173" s="30"/>
      <c r="C173" s="2" t="s">
        <v>126</v>
      </c>
      <c r="D173" s="3" t="s">
        <v>5</v>
      </c>
      <c r="E173" s="3" t="s">
        <v>6</v>
      </c>
      <c r="F173" s="4">
        <v>166.29919488000002</v>
      </c>
      <c r="G173" s="31"/>
      <c r="H173" s="8">
        <f t="shared" si="70"/>
        <v>1</v>
      </c>
      <c r="I173" s="9">
        <f t="shared" si="66"/>
        <v>166.29919488000002</v>
      </c>
      <c r="J173" s="34"/>
      <c r="K173" s="6">
        <f t="shared" si="71"/>
        <v>0</v>
      </c>
      <c r="L173" s="33">
        <f t="shared" si="68"/>
        <v>0</v>
      </c>
      <c r="M173" s="33">
        <f t="shared" si="69"/>
        <v>0</v>
      </c>
    </row>
    <row r="174" spans="1:13" ht="15.75" customHeight="1" x14ac:dyDescent="0.25">
      <c r="A174" s="37" t="s">
        <v>235</v>
      </c>
      <c r="B174" s="30"/>
      <c r="C174" s="2" t="s">
        <v>126</v>
      </c>
      <c r="D174" s="3" t="s">
        <v>18</v>
      </c>
      <c r="E174" s="3" t="s">
        <v>28</v>
      </c>
      <c r="F174" s="4">
        <v>47.514055679999998</v>
      </c>
      <c r="G174" s="31"/>
      <c r="H174" s="8">
        <f t="shared" si="70"/>
        <v>1</v>
      </c>
      <c r="I174" s="9">
        <f t="shared" si="66"/>
        <v>47.514055679999998</v>
      </c>
      <c r="J174" s="34"/>
      <c r="K174" s="6">
        <f t="shared" si="71"/>
        <v>0</v>
      </c>
      <c r="L174" s="33">
        <f t="shared" si="68"/>
        <v>0</v>
      </c>
      <c r="M174" s="33">
        <f t="shared" si="69"/>
        <v>0</v>
      </c>
    </row>
    <row r="175" spans="1:13" ht="15.75" customHeight="1" x14ac:dyDescent="0.25">
      <c r="A175" s="37" t="s">
        <v>235</v>
      </c>
      <c r="B175" s="30"/>
      <c r="C175" s="2" t="s">
        <v>129</v>
      </c>
      <c r="D175" s="3" t="s">
        <v>22</v>
      </c>
      <c r="E175" s="3" t="s">
        <v>23</v>
      </c>
      <c r="F175" s="4">
        <v>7051.0824000000002</v>
      </c>
      <c r="G175" s="31"/>
      <c r="H175" s="8">
        <f t="shared" si="70"/>
        <v>1</v>
      </c>
      <c r="I175" s="9">
        <f t="shared" si="66"/>
        <v>7051.0824000000002</v>
      </c>
      <c r="J175" s="34"/>
      <c r="K175" s="6">
        <f t="shared" si="71"/>
        <v>0</v>
      </c>
      <c r="L175" s="33">
        <f t="shared" si="68"/>
        <v>0</v>
      </c>
      <c r="M175" s="33">
        <f t="shared" si="69"/>
        <v>0</v>
      </c>
    </row>
    <row r="176" spans="1:13" ht="15.75" customHeight="1" x14ac:dyDescent="0.25">
      <c r="A176" s="37" t="s">
        <v>235</v>
      </c>
      <c r="B176" s="30"/>
      <c r="C176" s="2" t="s">
        <v>129</v>
      </c>
      <c r="D176" s="3" t="s">
        <v>3</v>
      </c>
      <c r="E176" s="3" t="s">
        <v>4</v>
      </c>
      <c r="F176" s="4">
        <v>705.10858629120014</v>
      </c>
      <c r="G176" s="31"/>
      <c r="H176" s="8">
        <f t="shared" si="70"/>
        <v>1</v>
      </c>
      <c r="I176" s="9">
        <f t="shared" si="66"/>
        <v>705.10858629120014</v>
      </c>
      <c r="J176" s="34"/>
      <c r="K176" s="6">
        <f t="shared" si="71"/>
        <v>0</v>
      </c>
      <c r="L176" s="33">
        <f t="shared" si="68"/>
        <v>0</v>
      </c>
      <c r="M176" s="33">
        <f t="shared" si="69"/>
        <v>0</v>
      </c>
    </row>
    <row r="177" spans="1:13" ht="15.75" customHeight="1" x14ac:dyDescent="0.25">
      <c r="A177" s="37" t="s">
        <v>235</v>
      </c>
      <c r="B177" s="30"/>
      <c r="C177" s="2" t="s">
        <v>129</v>
      </c>
      <c r="D177" s="3" t="s">
        <v>5</v>
      </c>
      <c r="E177" s="3" t="s">
        <v>6</v>
      </c>
      <c r="F177" s="4">
        <v>176.27714657280004</v>
      </c>
      <c r="G177" s="31"/>
      <c r="H177" s="8">
        <f t="shared" si="70"/>
        <v>1</v>
      </c>
      <c r="I177" s="9">
        <f t="shared" si="66"/>
        <v>176.27714657280004</v>
      </c>
      <c r="J177" s="34"/>
      <c r="K177" s="6">
        <f t="shared" si="71"/>
        <v>0</v>
      </c>
      <c r="L177" s="33">
        <f t="shared" si="68"/>
        <v>0</v>
      </c>
      <c r="M177" s="33">
        <f t="shared" si="69"/>
        <v>0</v>
      </c>
    </row>
    <row r="178" spans="1:13" ht="15.75" customHeight="1" x14ac:dyDescent="0.25">
      <c r="A178" s="37" t="s">
        <v>235</v>
      </c>
      <c r="B178" s="30"/>
      <c r="C178" s="2" t="s">
        <v>129</v>
      </c>
      <c r="D178" s="3" t="s">
        <v>18</v>
      </c>
      <c r="E178" s="3" t="s">
        <v>28</v>
      </c>
      <c r="F178" s="4">
        <v>50.36489902080001</v>
      </c>
      <c r="G178" s="31"/>
      <c r="H178" s="8">
        <f t="shared" si="70"/>
        <v>1</v>
      </c>
      <c r="I178" s="9">
        <f t="shared" si="66"/>
        <v>50.36489902080001</v>
      </c>
      <c r="J178" s="34"/>
      <c r="K178" s="6">
        <f t="shared" si="71"/>
        <v>0</v>
      </c>
      <c r="L178" s="33">
        <f t="shared" si="68"/>
        <v>0</v>
      </c>
      <c r="M178" s="33">
        <f t="shared" si="69"/>
        <v>0</v>
      </c>
    </row>
    <row r="179" spans="1:13" ht="18.75" x14ac:dyDescent="0.3">
      <c r="A179" s="37" t="s">
        <v>234</v>
      </c>
      <c r="B179" s="22"/>
      <c r="C179" s="13" t="s">
        <v>100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23"/>
    </row>
    <row r="180" spans="1:13" ht="38.25" customHeight="1" x14ac:dyDescent="0.25">
      <c r="A180" s="37" t="s">
        <v>232</v>
      </c>
      <c r="B180" s="27" t="s">
        <v>35</v>
      </c>
      <c r="C180" s="28" t="s">
        <v>0</v>
      </c>
      <c r="D180" s="28" t="s">
        <v>1</v>
      </c>
      <c r="E180" s="28" t="s">
        <v>2</v>
      </c>
      <c r="F180" s="29" t="s">
        <v>40</v>
      </c>
      <c r="G180" s="16" t="s">
        <v>41</v>
      </c>
      <c r="H180" s="16" t="s">
        <v>36</v>
      </c>
      <c r="I180" s="18" t="s">
        <v>41</v>
      </c>
      <c r="J180" s="18" t="s">
        <v>36</v>
      </c>
      <c r="K180" s="14" t="s">
        <v>43</v>
      </c>
      <c r="L180" s="16" t="s">
        <v>42</v>
      </c>
      <c r="M180" s="18" t="s">
        <v>42</v>
      </c>
    </row>
    <row r="181" spans="1:13" ht="15.75" customHeight="1" x14ac:dyDescent="0.25">
      <c r="A181" s="37" t="s">
        <v>235</v>
      </c>
      <c r="B181" s="30"/>
      <c r="C181" s="2" t="s">
        <v>101</v>
      </c>
      <c r="D181" s="3" t="s">
        <v>5</v>
      </c>
      <c r="E181" s="3" t="s">
        <v>6</v>
      </c>
      <c r="F181" s="4">
        <v>127.66640000000001</v>
      </c>
      <c r="G181" s="31"/>
      <c r="H181" s="8">
        <f t="shared" ref="H181:H197" si="72">-(G181/F181)+1</f>
        <v>1</v>
      </c>
      <c r="I181" s="9">
        <f t="shared" ref="I181:I197" si="73">F181*(1-J181)</f>
        <v>127.66640000000001</v>
      </c>
      <c r="J181" s="34"/>
      <c r="K181" s="6">
        <f t="shared" ref="K181:K197" si="74">B181*F181</f>
        <v>0</v>
      </c>
      <c r="L181" s="33">
        <f t="shared" ref="L181:L197" si="75">B181*G181</f>
        <v>0</v>
      </c>
      <c r="M181" s="33">
        <f t="shared" ref="M181:M197" si="76">B181*I181</f>
        <v>0</v>
      </c>
    </row>
    <row r="182" spans="1:13" ht="15.75" customHeight="1" x14ac:dyDescent="0.25">
      <c r="A182" s="37" t="s">
        <v>235</v>
      </c>
      <c r="B182" s="30"/>
      <c r="C182" s="2" t="s">
        <v>226</v>
      </c>
      <c r="D182" s="3" t="s">
        <v>18</v>
      </c>
      <c r="E182" s="3" t="s">
        <v>28</v>
      </c>
      <c r="F182" s="4">
        <v>37.237800000000007</v>
      </c>
      <c r="G182" s="31"/>
      <c r="H182" s="8">
        <f t="shared" si="72"/>
        <v>1</v>
      </c>
      <c r="I182" s="9">
        <f t="shared" si="73"/>
        <v>37.237800000000007</v>
      </c>
      <c r="J182" s="34"/>
      <c r="K182" s="6">
        <f t="shared" si="74"/>
        <v>0</v>
      </c>
      <c r="L182" s="33">
        <f t="shared" si="75"/>
        <v>0</v>
      </c>
      <c r="M182" s="33">
        <f t="shared" si="76"/>
        <v>0</v>
      </c>
    </row>
    <row r="183" spans="1:13" ht="15.75" customHeight="1" x14ac:dyDescent="0.25">
      <c r="A183" s="37" t="s">
        <v>235</v>
      </c>
      <c r="B183" s="30"/>
      <c r="C183" s="2" t="s">
        <v>105</v>
      </c>
      <c r="D183" s="3" t="s">
        <v>5</v>
      </c>
      <c r="E183" s="3" t="s">
        <v>102</v>
      </c>
      <c r="F183" s="4">
        <v>356.15160000000003</v>
      </c>
      <c r="G183" s="31"/>
      <c r="H183" s="8">
        <f t="shared" si="72"/>
        <v>1</v>
      </c>
      <c r="I183" s="9">
        <f t="shared" si="73"/>
        <v>356.15160000000003</v>
      </c>
      <c r="J183" s="34"/>
      <c r="K183" s="6">
        <f t="shared" si="74"/>
        <v>0</v>
      </c>
      <c r="L183" s="33">
        <f t="shared" si="75"/>
        <v>0</v>
      </c>
      <c r="M183" s="33">
        <f t="shared" si="76"/>
        <v>0</v>
      </c>
    </row>
    <row r="184" spans="1:13" ht="15.75" customHeight="1" x14ac:dyDescent="0.25">
      <c r="A184" s="37" t="s">
        <v>235</v>
      </c>
      <c r="B184" s="30"/>
      <c r="C184" s="2" t="s">
        <v>104</v>
      </c>
      <c r="D184" s="3" t="s">
        <v>5</v>
      </c>
      <c r="E184" s="3" t="s">
        <v>102</v>
      </c>
      <c r="F184" s="4">
        <v>663.80040000000008</v>
      </c>
      <c r="G184" s="31"/>
      <c r="H184" s="8">
        <f t="shared" si="72"/>
        <v>1</v>
      </c>
      <c r="I184" s="9">
        <f t="shared" si="73"/>
        <v>663.80040000000008</v>
      </c>
      <c r="J184" s="34"/>
      <c r="K184" s="6">
        <f t="shared" si="74"/>
        <v>0</v>
      </c>
      <c r="L184" s="33">
        <f t="shared" si="75"/>
        <v>0</v>
      </c>
      <c r="M184" s="33">
        <f t="shared" si="76"/>
        <v>0</v>
      </c>
    </row>
    <row r="185" spans="1:13" ht="15.75" customHeight="1" x14ac:dyDescent="0.25">
      <c r="A185" s="37" t="s">
        <v>235</v>
      </c>
      <c r="B185" s="30"/>
      <c r="C185" s="2" t="s">
        <v>107</v>
      </c>
      <c r="D185" s="3" t="s">
        <v>5</v>
      </c>
      <c r="E185" s="3" t="s">
        <v>6</v>
      </c>
      <c r="F185" s="4">
        <v>210.87</v>
      </c>
      <c r="G185" s="31"/>
      <c r="H185" s="8">
        <f t="shared" si="72"/>
        <v>1</v>
      </c>
      <c r="I185" s="9">
        <f t="shared" si="73"/>
        <v>210.87</v>
      </c>
      <c r="J185" s="34"/>
      <c r="K185" s="6">
        <f t="shared" si="74"/>
        <v>0</v>
      </c>
      <c r="L185" s="33">
        <f t="shared" si="75"/>
        <v>0</v>
      </c>
      <c r="M185" s="33">
        <f t="shared" si="76"/>
        <v>0</v>
      </c>
    </row>
    <row r="186" spans="1:13" ht="15.75" customHeight="1" x14ac:dyDescent="0.25">
      <c r="A186" s="37" t="s">
        <v>235</v>
      </c>
      <c r="B186" s="30"/>
      <c r="C186" s="2" t="s">
        <v>108</v>
      </c>
      <c r="D186" s="3" t="s">
        <v>5</v>
      </c>
      <c r="E186" s="3" t="s">
        <v>6</v>
      </c>
      <c r="F186" s="4">
        <v>174.37680000000003</v>
      </c>
      <c r="G186" s="31"/>
      <c r="H186" s="8">
        <f t="shared" si="72"/>
        <v>1</v>
      </c>
      <c r="I186" s="9">
        <f t="shared" si="73"/>
        <v>174.37680000000003</v>
      </c>
      <c r="J186" s="34"/>
      <c r="K186" s="6">
        <f t="shared" si="74"/>
        <v>0</v>
      </c>
      <c r="L186" s="33">
        <f t="shared" si="75"/>
        <v>0</v>
      </c>
      <c r="M186" s="33">
        <f t="shared" si="76"/>
        <v>0</v>
      </c>
    </row>
    <row r="187" spans="1:13" ht="15.75" customHeight="1" x14ac:dyDescent="0.25">
      <c r="A187" s="37" t="s">
        <v>235</v>
      </c>
      <c r="B187" s="30"/>
      <c r="C187" s="2" t="s">
        <v>106</v>
      </c>
      <c r="D187" s="3" t="s">
        <v>5</v>
      </c>
      <c r="E187" s="3" t="s">
        <v>6</v>
      </c>
      <c r="F187" s="4">
        <v>234.29520000000002</v>
      </c>
      <c r="G187" s="31"/>
      <c r="H187" s="8">
        <f>-(G187/F187)+1</f>
        <v>1</v>
      </c>
      <c r="I187" s="9">
        <f t="shared" si="73"/>
        <v>234.29520000000002</v>
      </c>
      <c r="J187" s="34"/>
      <c r="K187" s="6">
        <f>B187*F187</f>
        <v>0</v>
      </c>
      <c r="L187" s="33">
        <f t="shared" si="75"/>
        <v>0</v>
      </c>
      <c r="M187" s="33">
        <f t="shared" si="76"/>
        <v>0</v>
      </c>
    </row>
    <row r="188" spans="1:13" ht="15.75" customHeight="1" x14ac:dyDescent="0.25">
      <c r="A188" s="37" t="s">
        <v>235</v>
      </c>
      <c r="B188" s="30"/>
      <c r="C188" s="2" t="s">
        <v>109</v>
      </c>
      <c r="D188" s="3" t="s">
        <v>5</v>
      </c>
      <c r="E188" s="3" t="s">
        <v>102</v>
      </c>
      <c r="F188" s="4">
        <v>352.64</v>
      </c>
      <c r="G188" s="31"/>
      <c r="H188" s="8">
        <f>-(G188/F188)+1</f>
        <v>1</v>
      </c>
      <c r="I188" s="9">
        <f t="shared" si="73"/>
        <v>352.64</v>
      </c>
      <c r="J188" s="34"/>
      <c r="K188" s="6">
        <f>B188*F188</f>
        <v>0</v>
      </c>
      <c r="L188" s="33">
        <f t="shared" si="75"/>
        <v>0</v>
      </c>
      <c r="M188" s="33">
        <f t="shared" si="76"/>
        <v>0</v>
      </c>
    </row>
    <row r="189" spans="1:13" ht="15.75" customHeight="1" x14ac:dyDescent="0.25">
      <c r="A189" s="37" t="s">
        <v>235</v>
      </c>
      <c r="B189" s="30"/>
      <c r="C189" s="2" t="s">
        <v>110</v>
      </c>
      <c r="D189" s="3" t="s">
        <v>5</v>
      </c>
      <c r="E189" s="3" t="s">
        <v>6</v>
      </c>
      <c r="F189" s="4">
        <v>328.32000000000005</v>
      </c>
      <c r="G189" s="31"/>
      <c r="H189" s="8">
        <f>-(G189/F189)+1</f>
        <v>1</v>
      </c>
      <c r="I189" s="9">
        <f t="shared" si="73"/>
        <v>328.32000000000005</v>
      </c>
      <c r="J189" s="34"/>
      <c r="K189" s="6">
        <f>B189*F189</f>
        <v>0</v>
      </c>
      <c r="L189" s="33">
        <f t="shared" si="75"/>
        <v>0</v>
      </c>
      <c r="M189" s="33">
        <f t="shared" si="76"/>
        <v>0</v>
      </c>
    </row>
    <row r="190" spans="1:13" ht="15.75" customHeight="1" x14ac:dyDescent="0.25">
      <c r="A190" s="37" t="s">
        <v>235</v>
      </c>
      <c r="B190" s="30"/>
      <c r="C190" s="2" t="s">
        <v>103</v>
      </c>
      <c r="D190" s="3" t="s">
        <v>5</v>
      </c>
      <c r="E190" s="3" t="s">
        <v>6</v>
      </c>
      <c r="F190" s="4">
        <v>445.46760000000006</v>
      </c>
      <c r="G190" s="31"/>
      <c r="H190" s="8">
        <f t="shared" si="72"/>
        <v>1</v>
      </c>
      <c r="I190" s="9">
        <f t="shared" si="73"/>
        <v>445.46760000000006</v>
      </c>
      <c r="J190" s="34"/>
      <c r="K190" s="6">
        <f t="shared" si="74"/>
        <v>0</v>
      </c>
      <c r="L190" s="33">
        <f t="shared" si="75"/>
        <v>0</v>
      </c>
      <c r="M190" s="33">
        <f t="shared" si="76"/>
        <v>0</v>
      </c>
    </row>
    <row r="191" spans="1:13" ht="15.75" customHeight="1" x14ac:dyDescent="0.25">
      <c r="A191" s="37" t="s">
        <v>235</v>
      </c>
      <c r="B191" s="30"/>
      <c r="C191" s="2" t="s">
        <v>111</v>
      </c>
      <c r="D191" s="3" t="s">
        <v>5</v>
      </c>
      <c r="E191" s="3" t="s">
        <v>6</v>
      </c>
      <c r="F191" s="4">
        <v>262.66680000000002</v>
      </c>
      <c r="G191" s="31"/>
      <c r="H191" s="8">
        <f t="shared" si="72"/>
        <v>1</v>
      </c>
      <c r="I191" s="9">
        <f t="shared" si="73"/>
        <v>262.66680000000002</v>
      </c>
      <c r="J191" s="34"/>
      <c r="K191" s="6">
        <f t="shared" si="74"/>
        <v>0</v>
      </c>
      <c r="L191" s="33">
        <f t="shared" si="75"/>
        <v>0</v>
      </c>
      <c r="M191" s="33">
        <f t="shared" si="76"/>
        <v>0</v>
      </c>
    </row>
    <row r="192" spans="1:13" ht="15.75" customHeight="1" x14ac:dyDescent="0.25">
      <c r="A192" s="37" t="s">
        <v>235</v>
      </c>
      <c r="B192" s="30"/>
      <c r="C192" s="2" t="s">
        <v>112</v>
      </c>
      <c r="D192" s="3" t="s">
        <v>5</v>
      </c>
      <c r="E192" s="3" t="s">
        <v>6</v>
      </c>
      <c r="F192" s="4">
        <v>262.66680000000002</v>
      </c>
      <c r="G192" s="31"/>
      <c r="H192" s="8">
        <f t="shared" si="72"/>
        <v>1</v>
      </c>
      <c r="I192" s="9">
        <f t="shared" si="73"/>
        <v>262.66680000000002</v>
      </c>
      <c r="J192" s="34"/>
      <c r="K192" s="6">
        <f t="shared" si="74"/>
        <v>0</v>
      </c>
      <c r="L192" s="33">
        <f t="shared" si="75"/>
        <v>0</v>
      </c>
      <c r="M192" s="33">
        <f t="shared" si="76"/>
        <v>0</v>
      </c>
    </row>
    <row r="193" spans="1:13" ht="15.75" customHeight="1" x14ac:dyDescent="0.25">
      <c r="A193" s="37" t="s">
        <v>235</v>
      </c>
      <c r="B193" s="30"/>
      <c r="C193" s="2" t="s">
        <v>228</v>
      </c>
      <c r="D193" s="3" t="s">
        <v>5</v>
      </c>
      <c r="E193" s="3" t="s">
        <v>6</v>
      </c>
      <c r="F193" s="4">
        <v>288.93</v>
      </c>
      <c r="G193" s="31"/>
      <c r="H193" s="8">
        <f t="shared" si="72"/>
        <v>1</v>
      </c>
      <c r="I193" s="9">
        <f t="shared" si="73"/>
        <v>288.93</v>
      </c>
      <c r="J193" s="34"/>
      <c r="K193" s="6">
        <f t="shared" si="74"/>
        <v>0</v>
      </c>
      <c r="L193" s="33">
        <f t="shared" si="75"/>
        <v>0</v>
      </c>
      <c r="M193" s="33">
        <f t="shared" si="76"/>
        <v>0</v>
      </c>
    </row>
    <row r="194" spans="1:13" ht="15.75" customHeight="1" x14ac:dyDescent="0.25">
      <c r="A194" s="37" t="s">
        <v>235</v>
      </c>
      <c r="B194" s="30"/>
      <c r="C194" s="2" t="s">
        <v>114</v>
      </c>
      <c r="D194" s="3" t="s">
        <v>7</v>
      </c>
      <c r="E194" s="3" t="s">
        <v>9</v>
      </c>
      <c r="F194" s="4">
        <v>287.10719999999998</v>
      </c>
      <c r="G194" s="31"/>
      <c r="H194" s="8">
        <f t="shared" si="72"/>
        <v>1</v>
      </c>
      <c r="I194" s="9">
        <f t="shared" si="73"/>
        <v>287.10719999999998</v>
      </c>
      <c r="J194" s="34"/>
      <c r="K194" s="6">
        <f t="shared" si="74"/>
        <v>0</v>
      </c>
      <c r="L194" s="33">
        <f t="shared" si="75"/>
        <v>0</v>
      </c>
      <c r="M194" s="33">
        <f t="shared" si="76"/>
        <v>0</v>
      </c>
    </row>
    <row r="195" spans="1:13" ht="15.75" customHeight="1" x14ac:dyDescent="0.25">
      <c r="A195" s="37" t="s">
        <v>235</v>
      </c>
      <c r="B195" s="30"/>
      <c r="C195" s="2" t="s">
        <v>114</v>
      </c>
      <c r="D195" s="3" t="s">
        <v>13</v>
      </c>
      <c r="E195" s="3" t="s">
        <v>115</v>
      </c>
      <c r="F195" s="4">
        <v>17.042400000000001</v>
      </c>
      <c r="G195" s="31"/>
      <c r="H195" s="8">
        <f t="shared" si="72"/>
        <v>1</v>
      </c>
      <c r="I195" s="9">
        <f t="shared" si="73"/>
        <v>17.042400000000001</v>
      </c>
      <c r="J195" s="34"/>
      <c r="K195" s="6">
        <f t="shared" si="74"/>
        <v>0</v>
      </c>
      <c r="L195" s="33">
        <f t="shared" si="75"/>
        <v>0</v>
      </c>
      <c r="M195" s="33">
        <f t="shared" si="76"/>
        <v>0</v>
      </c>
    </row>
    <row r="196" spans="1:13" ht="15.75" customHeight="1" x14ac:dyDescent="0.25">
      <c r="A196" s="37" t="s">
        <v>235</v>
      </c>
      <c r="B196" s="30"/>
      <c r="C196" s="2" t="s">
        <v>116</v>
      </c>
      <c r="D196" s="3" t="s">
        <v>7</v>
      </c>
      <c r="E196" s="3" t="s">
        <v>9</v>
      </c>
      <c r="F196" s="4">
        <v>287.10719999999998</v>
      </c>
      <c r="G196" s="31"/>
      <c r="H196" s="8">
        <f t="shared" si="72"/>
        <v>1</v>
      </c>
      <c r="I196" s="9">
        <f t="shared" si="73"/>
        <v>287.10719999999998</v>
      </c>
      <c r="J196" s="34"/>
      <c r="K196" s="6">
        <f t="shared" si="74"/>
        <v>0</v>
      </c>
      <c r="L196" s="33">
        <f t="shared" si="75"/>
        <v>0</v>
      </c>
      <c r="M196" s="33">
        <f t="shared" si="76"/>
        <v>0</v>
      </c>
    </row>
    <row r="197" spans="1:13" ht="15.75" customHeight="1" x14ac:dyDescent="0.25">
      <c r="A197" s="37" t="s">
        <v>235</v>
      </c>
      <c r="B197" s="30"/>
      <c r="C197" s="2" t="s">
        <v>116</v>
      </c>
      <c r="D197" s="3" t="s">
        <v>13</v>
      </c>
      <c r="E197" s="3" t="s">
        <v>115</v>
      </c>
      <c r="F197" s="4">
        <v>17.042400000000001</v>
      </c>
      <c r="G197" s="31"/>
      <c r="H197" s="8">
        <f t="shared" si="72"/>
        <v>1</v>
      </c>
      <c r="I197" s="9">
        <f t="shared" si="73"/>
        <v>17.042400000000001</v>
      </c>
      <c r="J197" s="34"/>
      <c r="K197" s="6">
        <f t="shared" si="74"/>
        <v>0</v>
      </c>
      <c r="L197" s="33">
        <f t="shared" si="75"/>
        <v>0</v>
      </c>
      <c r="M197" s="33">
        <f t="shared" si="76"/>
        <v>0</v>
      </c>
    </row>
    <row r="198" spans="1:13" ht="18.75" x14ac:dyDescent="0.3">
      <c r="A198" s="37" t="s">
        <v>234</v>
      </c>
      <c r="B198" s="22"/>
      <c r="C198" s="13" t="s">
        <v>130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23"/>
    </row>
    <row r="199" spans="1:13" ht="38.25" customHeight="1" x14ac:dyDescent="0.25">
      <c r="A199" s="37" t="s">
        <v>232</v>
      </c>
      <c r="B199" s="27" t="s">
        <v>35</v>
      </c>
      <c r="C199" s="28" t="s">
        <v>0</v>
      </c>
      <c r="D199" s="28" t="s">
        <v>1</v>
      </c>
      <c r="E199" s="28" t="s">
        <v>2</v>
      </c>
      <c r="F199" s="29" t="s">
        <v>40</v>
      </c>
      <c r="G199" s="16" t="s">
        <v>41</v>
      </c>
      <c r="H199" s="16" t="s">
        <v>36</v>
      </c>
      <c r="I199" s="18" t="s">
        <v>41</v>
      </c>
      <c r="J199" s="18" t="s">
        <v>36</v>
      </c>
      <c r="K199" s="14" t="s">
        <v>43</v>
      </c>
      <c r="L199" s="16" t="s">
        <v>42</v>
      </c>
      <c r="M199" s="18" t="s">
        <v>42</v>
      </c>
    </row>
    <row r="200" spans="1:13" ht="15.75" customHeight="1" x14ac:dyDescent="0.25">
      <c r="A200" s="37" t="s">
        <v>235</v>
      </c>
      <c r="B200" s="30"/>
      <c r="C200" s="2" t="s">
        <v>131</v>
      </c>
      <c r="D200" s="3" t="s">
        <v>22</v>
      </c>
      <c r="E200" s="3" t="s">
        <v>23</v>
      </c>
      <c r="F200" s="4">
        <v>4683.0744000000004</v>
      </c>
      <c r="G200" s="31"/>
      <c r="H200" s="8">
        <f t="shared" ref="H200:H206" si="77">-(G200/F200)+1</f>
        <v>1</v>
      </c>
      <c r="I200" s="9">
        <f t="shared" ref="I200:I206" si="78">F200*(1-J200)</f>
        <v>4683.0744000000004</v>
      </c>
      <c r="J200" s="34"/>
      <c r="K200" s="6">
        <f t="shared" ref="K200:K206" si="79">B200*F200</f>
        <v>0</v>
      </c>
      <c r="L200" s="33">
        <f t="shared" ref="L200:L206" si="80">B200*G200</f>
        <v>0</v>
      </c>
      <c r="M200" s="33">
        <f t="shared" ref="M200:M206" si="81">B200*I200</f>
        <v>0</v>
      </c>
    </row>
    <row r="201" spans="1:13" ht="15.75" customHeight="1" x14ac:dyDescent="0.25">
      <c r="A201" s="37" t="s">
        <v>235</v>
      </c>
      <c r="B201" s="30"/>
      <c r="C201" s="2" t="s">
        <v>131</v>
      </c>
      <c r="D201" s="3" t="s">
        <v>7</v>
      </c>
      <c r="E201" s="3" t="s">
        <v>4</v>
      </c>
      <c r="F201" s="4">
        <v>443.4264</v>
      </c>
      <c r="G201" s="31"/>
      <c r="H201" s="8">
        <f t="shared" si="77"/>
        <v>1</v>
      </c>
      <c r="I201" s="9">
        <f t="shared" si="78"/>
        <v>443.4264</v>
      </c>
      <c r="J201" s="34"/>
      <c r="K201" s="6">
        <f t="shared" si="79"/>
        <v>0</v>
      </c>
      <c r="L201" s="33">
        <f t="shared" si="80"/>
        <v>0</v>
      </c>
      <c r="M201" s="33">
        <f t="shared" si="81"/>
        <v>0</v>
      </c>
    </row>
    <row r="202" spans="1:13" ht="15.75" customHeight="1" x14ac:dyDescent="0.25">
      <c r="A202" s="37" t="s">
        <v>235</v>
      </c>
      <c r="B202" s="30"/>
      <c r="C202" s="2" t="s">
        <v>133</v>
      </c>
      <c r="D202" s="3" t="s">
        <v>22</v>
      </c>
      <c r="E202" s="3" t="s">
        <v>23</v>
      </c>
      <c r="F202" s="4">
        <v>5348.0519999999997</v>
      </c>
      <c r="G202" s="31"/>
      <c r="H202" s="8">
        <f t="shared" si="77"/>
        <v>1</v>
      </c>
      <c r="I202" s="9">
        <f t="shared" si="78"/>
        <v>5348.0519999999997</v>
      </c>
      <c r="J202" s="34"/>
      <c r="K202" s="6">
        <f t="shared" si="79"/>
        <v>0</v>
      </c>
      <c r="L202" s="33">
        <f t="shared" si="80"/>
        <v>0</v>
      </c>
      <c r="M202" s="33">
        <f t="shared" si="81"/>
        <v>0</v>
      </c>
    </row>
    <row r="203" spans="1:13" ht="15.75" customHeight="1" x14ac:dyDescent="0.25">
      <c r="A203" s="37" t="s">
        <v>235</v>
      </c>
      <c r="B203" s="30"/>
      <c r="C203" s="2" t="s">
        <v>133</v>
      </c>
      <c r="D203" s="3" t="s">
        <v>3</v>
      </c>
      <c r="E203" s="3" t="s">
        <v>4</v>
      </c>
      <c r="F203" s="4">
        <v>534.80520000000001</v>
      </c>
      <c r="G203" s="31"/>
      <c r="H203" s="8">
        <f t="shared" si="77"/>
        <v>1</v>
      </c>
      <c r="I203" s="9">
        <f t="shared" si="78"/>
        <v>534.80520000000001</v>
      </c>
      <c r="J203" s="34"/>
      <c r="K203" s="6">
        <f t="shared" si="79"/>
        <v>0</v>
      </c>
      <c r="L203" s="33">
        <f t="shared" si="80"/>
        <v>0</v>
      </c>
      <c r="M203" s="33">
        <f t="shared" si="81"/>
        <v>0</v>
      </c>
    </row>
    <row r="204" spans="1:13" ht="15.75" customHeight="1" x14ac:dyDescent="0.25">
      <c r="A204" s="37" t="s">
        <v>235</v>
      </c>
      <c r="B204" s="30"/>
      <c r="C204" s="2" t="s">
        <v>132</v>
      </c>
      <c r="D204" s="3" t="s">
        <v>22</v>
      </c>
      <c r="E204" s="3" t="s">
        <v>23</v>
      </c>
      <c r="F204" s="4">
        <v>5506.0560000000005</v>
      </c>
      <c r="G204" s="31"/>
      <c r="H204" s="8">
        <f t="shared" si="77"/>
        <v>1</v>
      </c>
      <c r="I204" s="9">
        <f t="shared" si="78"/>
        <v>5506.0560000000005</v>
      </c>
      <c r="J204" s="34"/>
      <c r="K204" s="6">
        <f t="shared" si="79"/>
        <v>0</v>
      </c>
      <c r="L204" s="33">
        <f t="shared" si="80"/>
        <v>0</v>
      </c>
      <c r="M204" s="33">
        <f t="shared" si="81"/>
        <v>0</v>
      </c>
    </row>
    <row r="205" spans="1:13" ht="15.75" customHeight="1" x14ac:dyDescent="0.25">
      <c r="A205" s="37" t="s">
        <v>235</v>
      </c>
      <c r="B205" s="30"/>
      <c r="C205" s="2" t="s">
        <v>132</v>
      </c>
      <c r="D205" s="3" t="s">
        <v>3</v>
      </c>
      <c r="E205" s="3" t="s">
        <v>4</v>
      </c>
      <c r="F205" s="4">
        <v>550.60559999999998</v>
      </c>
      <c r="G205" s="31"/>
      <c r="H205" s="8">
        <f t="shared" si="77"/>
        <v>1</v>
      </c>
      <c r="I205" s="9">
        <f t="shared" si="78"/>
        <v>550.60559999999998</v>
      </c>
      <c r="J205" s="34"/>
      <c r="K205" s="6">
        <f t="shared" si="79"/>
        <v>0</v>
      </c>
      <c r="L205" s="33">
        <f t="shared" si="80"/>
        <v>0</v>
      </c>
      <c r="M205" s="33">
        <f t="shared" si="81"/>
        <v>0</v>
      </c>
    </row>
    <row r="206" spans="1:13" ht="15.75" customHeight="1" x14ac:dyDescent="0.25">
      <c r="A206" s="37" t="s">
        <v>235</v>
      </c>
      <c r="B206" s="30"/>
      <c r="C206" s="2" t="s">
        <v>134</v>
      </c>
      <c r="D206" s="3" t="s">
        <v>5</v>
      </c>
      <c r="E206" s="3" t="s">
        <v>6</v>
      </c>
      <c r="F206" s="4">
        <v>115.62480000000001</v>
      </c>
      <c r="G206" s="31"/>
      <c r="H206" s="8">
        <f t="shared" si="77"/>
        <v>1</v>
      </c>
      <c r="I206" s="9">
        <f t="shared" si="78"/>
        <v>115.62480000000001</v>
      </c>
      <c r="J206" s="34"/>
      <c r="K206" s="6">
        <f t="shared" si="79"/>
        <v>0</v>
      </c>
      <c r="L206" s="33">
        <f t="shared" si="80"/>
        <v>0</v>
      </c>
      <c r="M206" s="33">
        <f t="shared" si="81"/>
        <v>0</v>
      </c>
    </row>
    <row r="207" spans="1:13" ht="18.75" x14ac:dyDescent="0.3">
      <c r="A207" s="37" t="s">
        <v>234</v>
      </c>
      <c r="B207" s="22"/>
      <c r="C207" s="13" t="s">
        <v>24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23"/>
    </row>
    <row r="208" spans="1:13" ht="38.25" customHeight="1" x14ac:dyDescent="0.25">
      <c r="A208" s="37" t="s">
        <v>232</v>
      </c>
      <c r="B208" s="27" t="s">
        <v>35</v>
      </c>
      <c r="C208" s="28" t="s">
        <v>0</v>
      </c>
      <c r="D208" s="28" t="s">
        <v>1</v>
      </c>
      <c r="E208" s="28" t="s">
        <v>2</v>
      </c>
      <c r="F208" s="29" t="s">
        <v>40</v>
      </c>
      <c r="G208" s="16" t="s">
        <v>41</v>
      </c>
      <c r="H208" s="16" t="s">
        <v>36</v>
      </c>
      <c r="I208" s="18" t="s">
        <v>41</v>
      </c>
      <c r="J208" s="18" t="s">
        <v>36</v>
      </c>
      <c r="K208" s="14" t="s">
        <v>43</v>
      </c>
      <c r="L208" s="16" t="s">
        <v>42</v>
      </c>
      <c r="M208" s="18" t="s">
        <v>42</v>
      </c>
    </row>
    <row r="209" spans="1:13" ht="15.75" customHeight="1" x14ac:dyDescent="0.25">
      <c r="A209" s="37" t="s">
        <v>235</v>
      </c>
      <c r="B209" s="30"/>
      <c r="C209" s="2" t="s">
        <v>135</v>
      </c>
      <c r="D209" s="3" t="s">
        <v>22</v>
      </c>
      <c r="E209" s="3" t="s">
        <v>23</v>
      </c>
      <c r="F209" s="4">
        <v>4040.92</v>
      </c>
      <c r="G209" s="31"/>
      <c r="H209" s="8">
        <f t="shared" ref="H209:H220" si="82">-(G209/F209)+1</f>
        <v>1</v>
      </c>
      <c r="I209" s="9">
        <f t="shared" ref="I209:I220" si="83">F209*(1-J209)</f>
        <v>4040.92</v>
      </c>
      <c r="J209" s="34"/>
      <c r="K209" s="6">
        <f t="shared" ref="K209:K220" si="84">B209*F209</f>
        <v>0</v>
      </c>
      <c r="L209" s="33">
        <f t="shared" ref="L209:L220" si="85">B209*G209</f>
        <v>0</v>
      </c>
      <c r="M209" s="33">
        <f t="shared" ref="M209:M220" si="86">B209*I209</f>
        <v>0</v>
      </c>
    </row>
    <row r="210" spans="1:13" ht="15.75" customHeight="1" x14ac:dyDescent="0.25">
      <c r="A210" s="37" t="s">
        <v>235</v>
      </c>
      <c r="B210" s="30"/>
      <c r="C210" s="2" t="s">
        <v>135</v>
      </c>
      <c r="D210" s="3" t="s">
        <v>3</v>
      </c>
      <c r="E210" s="3" t="s">
        <v>4</v>
      </c>
      <c r="F210" s="4">
        <v>384.85</v>
      </c>
      <c r="G210" s="31"/>
      <c r="H210" s="8">
        <f t="shared" si="82"/>
        <v>1</v>
      </c>
      <c r="I210" s="9">
        <f t="shared" si="83"/>
        <v>384.85</v>
      </c>
      <c r="J210" s="34"/>
      <c r="K210" s="6">
        <f t="shared" si="84"/>
        <v>0</v>
      </c>
      <c r="L210" s="33">
        <f t="shared" si="85"/>
        <v>0</v>
      </c>
      <c r="M210" s="33">
        <f t="shared" si="86"/>
        <v>0</v>
      </c>
    </row>
    <row r="211" spans="1:13" ht="15.75" customHeight="1" x14ac:dyDescent="0.25">
      <c r="A211" s="37" t="s">
        <v>235</v>
      </c>
      <c r="B211" s="30"/>
      <c r="C211" s="2" t="s">
        <v>135</v>
      </c>
      <c r="D211" s="3" t="s">
        <v>5</v>
      </c>
      <c r="E211" s="3" t="s">
        <v>113</v>
      </c>
      <c r="F211" s="4">
        <v>113.19</v>
      </c>
      <c r="G211" s="31"/>
      <c r="H211" s="8">
        <f t="shared" si="82"/>
        <v>1</v>
      </c>
      <c r="I211" s="9">
        <f t="shared" si="83"/>
        <v>113.19</v>
      </c>
      <c r="J211" s="34"/>
      <c r="K211" s="6">
        <f t="shared" si="84"/>
        <v>0</v>
      </c>
      <c r="L211" s="33">
        <f t="shared" si="85"/>
        <v>0</v>
      </c>
      <c r="M211" s="33">
        <f t="shared" si="86"/>
        <v>0</v>
      </c>
    </row>
    <row r="212" spans="1:13" ht="15.75" customHeight="1" x14ac:dyDescent="0.25">
      <c r="A212" s="37" t="s">
        <v>235</v>
      </c>
      <c r="B212" s="30"/>
      <c r="C212" s="2" t="s">
        <v>135</v>
      </c>
      <c r="D212" s="3" t="s">
        <v>18</v>
      </c>
      <c r="E212" s="3" t="s">
        <v>28</v>
      </c>
      <c r="F212" s="4">
        <v>22.64</v>
      </c>
      <c r="G212" s="31"/>
      <c r="H212" s="8">
        <f t="shared" si="82"/>
        <v>1</v>
      </c>
      <c r="I212" s="9">
        <f t="shared" si="83"/>
        <v>22.64</v>
      </c>
      <c r="J212" s="34"/>
      <c r="K212" s="6">
        <f t="shared" si="84"/>
        <v>0</v>
      </c>
      <c r="L212" s="33">
        <f t="shared" si="85"/>
        <v>0</v>
      </c>
      <c r="M212" s="33">
        <f t="shared" si="86"/>
        <v>0</v>
      </c>
    </row>
    <row r="213" spans="1:13" ht="15.75" customHeight="1" x14ac:dyDescent="0.25">
      <c r="A213" s="37" t="s">
        <v>235</v>
      </c>
      <c r="B213" s="30"/>
      <c r="C213" s="2" t="s">
        <v>136</v>
      </c>
      <c r="D213" s="3" t="s">
        <v>22</v>
      </c>
      <c r="E213" s="3" t="s">
        <v>23</v>
      </c>
      <c r="F213" s="4">
        <v>3343.93</v>
      </c>
      <c r="G213" s="31"/>
      <c r="H213" s="8">
        <f t="shared" si="82"/>
        <v>1</v>
      </c>
      <c r="I213" s="9">
        <f t="shared" si="83"/>
        <v>3343.93</v>
      </c>
      <c r="J213" s="34"/>
      <c r="K213" s="6">
        <f t="shared" si="84"/>
        <v>0</v>
      </c>
      <c r="L213" s="33">
        <f t="shared" si="85"/>
        <v>0</v>
      </c>
      <c r="M213" s="33">
        <f t="shared" si="86"/>
        <v>0</v>
      </c>
    </row>
    <row r="214" spans="1:13" ht="15.75" customHeight="1" x14ac:dyDescent="0.25">
      <c r="A214" s="37" t="s">
        <v>235</v>
      </c>
      <c r="B214" s="30"/>
      <c r="C214" s="2" t="s">
        <v>136</v>
      </c>
      <c r="D214" s="3" t="s">
        <v>3</v>
      </c>
      <c r="E214" s="3" t="s">
        <v>4</v>
      </c>
      <c r="F214" s="4">
        <v>318.47000000000003</v>
      </c>
      <c r="G214" s="31"/>
      <c r="H214" s="8">
        <f t="shared" si="82"/>
        <v>1</v>
      </c>
      <c r="I214" s="9">
        <f t="shared" si="83"/>
        <v>318.47000000000003</v>
      </c>
      <c r="J214" s="34"/>
      <c r="K214" s="6">
        <f t="shared" si="84"/>
        <v>0</v>
      </c>
      <c r="L214" s="33">
        <f t="shared" si="85"/>
        <v>0</v>
      </c>
      <c r="M214" s="33">
        <f t="shared" si="86"/>
        <v>0</v>
      </c>
    </row>
    <row r="215" spans="1:13" ht="15.75" customHeight="1" x14ac:dyDescent="0.25">
      <c r="A215" s="37" t="s">
        <v>235</v>
      </c>
      <c r="B215" s="30"/>
      <c r="C215" s="2" t="s">
        <v>136</v>
      </c>
      <c r="D215" s="3" t="s">
        <v>5</v>
      </c>
      <c r="E215" s="3" t="s">
        <v>113</v>
      </c>
      <c r="F215" s="4">
        <v>93.67</v>
      </c>
      <c r="G215" s="31"/>
      <c r="H215" s="8">
        <f t="shared" si="82"/>
        <v>1</v>
      </c>
      <c r="I215" s="9">
        <f t="shared" si="83"/>
        <v>93.67</v>
      </c>
      <c r="J215" s="34"/>
      <c r="K215" s="6">
        <f t="shared" si="84"/>
        <v>0</v>
      </c>
      <c r="L215" s="33">
        <f t="shared" si="85"/>
        <v>0</v>
      </c>
      <c r="M215" s="33">
        <f t="shared" si="86"/>
        <v>0</v>
      </c>
    </row>
    <row r="216" spans="1:13" ht="15.75" customHeight="1" x14ac:dyDescent="0.25">
      <c r="A216" s="37" t="s">
        <v>235</v>
      </c>
      <c r="B216" s="30"/>
      <c r="C216" s="2" t="s">
        <v>136</v>
      </c>
      <c r="D216" s="3" t="s">
        <v>18</v>
      </c>
      <c r="E216" s="3" t="s">
        <v>28</v>
      </c>
      <c r="F216" s="4">
        <v>18.73</v>
      </c>
      <c r="G216" s="31"/>
      <c r="H216" s="8">
        <f t="shared" si="82"/>
        <v>1</v>
      </c>
      <c r="I216" s="9">
        <f t="shared" si="83"/>
        <v>18.73</v>
      </c>
      <c r="J216" s="34"/>
      <c r="K216" s="6">
        <f t="shared" si="84"/>
        <v>0</v>
      </c>
      <c r="L216" s="33">
        <f t="shared" si="85"/>
        <v>0</v>
      </c>
      <c r="M216" s="33">
        <f t="shared" si="86"/>
        <v>0</v>
      </c>
    </row>
    <row r="217" spans="1:13" ht="15.75" customHeight="1" x14ac:dyDescent="0.25">
      <c r="A217" s="37" t="s">
        <v>235</v>
      </c>
      <c r="B217" s="30"/>
      <c r="C217" s="2" t="s">
        <v>137</v>
      </c>
      <c r="D217" s="3" t="s">
        <v>22</v>
      </c>
      <c r="E217" s="3" t="s">
        <v>23</v>
      </c>
      <c r="F217" s="4">
        <v>3742.83</v>
      </c>
      <c r="G217" s="31"/>
      <c r="H217" s="8">
        <f t="shared" si="82"/>
        <v>1</v>
      </c>
      <c r="I217" s="9">
        <f t="shared" si="83"/>
        <v>3742.83</v>
      </c>
      <c r="J217" s="34"/>
      <c r="K217" s="6">
        <f t="shared" si="84"/>
        <v>0</v>
      </c>
      <c r="L217" s="33">
        <f t="shared" si="85"/>
        <v>0</v>
      </c>
      <c r="M217" s="33">
        <f t="shared" si="86"/>
        <v>0</v>
      </c>
    </row>
    <row r="218" spans="1:13" ht="15.75" customHeight="1" x14ac:dyDescent="0.25">
      <c r="A218" s="37" t="s">
        <v>235</v>
      </c>
      <c r="B218" s="30"/>
      <c r="C218" s="2" t="s">
        <v>137</v>
      </c>
      <c r="D218" s="3" t="s">
        <v>3</v>
      </c>
      <c r="E218" s="3" t="s">
        <v>4</v>
      </c>
      <c r="F218" s="4">
        <v>356.46</v>
      </c>
      <c r="G218" s="31"/>
      <c r="H218" s="8">
        <f t="shared" si="82"/>
        <v>1</v>
      </c>
      <c r="I218" s="9">
        <f t="shared" si="83"/>
        <v>356.46</v>
      </c>
      <c r="J218" s="34"/>
      <c r="K218" s="6">
        <f t="shared" si="84"/>
        <v>0</v>
      </c>
      <c r="L218" s="33">
        <f t="shared" si="85"/>
        <v>0</v>
      </c>
      <c r="M218" s="33">
        <f t="shared" si="86"/>
        <v>0</v>
      </c>
    </row>
    <row r="219" spans="1:13" ht="15.75" customHeight="1" x14ac:dyDescent="0.25">
      <c r="A219" s="37" t="s">
        <v>235</v>
      </c>
      <c r="B219" s="30"/>
      <c r="C219" s="2" t="s">
        <v>137</v>
      </c>
      <c r="D219" s="3" t="s">
        <v>5</v>
      </c>
      <c r="E219" s="3" t="s">
        <v>113</v>
      </c>
      <c r="F219" s="4">
        <v>104.84</v>
      </c>
      <c r="G219" s="31"/>
      <c r="H219" s="8">
        <f t="shared" si="82"/>
        <v>1</v>
      </c>
      <c r="I219" s="9">
        <f t="shared" si="83"/>
        <v>104.84</v>
      </c>
      <c r="J219" s="34"/>
      <c r="K219" s="6">
        <f t="shared" si="84"/>
        <v>0</v>
      </c>
      <c r="L219" s="33">
        <f t="shared" si="85"/>
        <v>0</v>
      </c>
      <c r="M219" s="33">
        <f t="shared" si="86"/>
        <v>0</v>
      </c>
    </row>
    <row r="220" spans="1:13" ht="15.75" customHeight="1" x14ac:dyDescent="0.25">
      <c r="A220" s="37" t="s">
        <v>235</v>
      </c>
      <c r="B220" s="30"/>
      <c r="C220" s="2" t="s">
        <v>137</v>
      </c>
      <c r="D220" s="3" t="s">
        <v>18</v>
      </c>
      <c r="E220" s="3" t="s">
        <v>28</v>
      </c>
      <c r="F220" s="4">
        <v>20.97</v>
      </c>
      <c r="G220" s="31"/>
      <c r="H220" s="8">
        <f t="shared" si="82"/>
        <v>1</v>
      </c>
      <c r="I220" s="9">
        <f t="shared" si="83"/>
        <v>20.97</v>
      </c>
      <c r="J220" s="34"/>
      <c r="K220" s="6">
        <f t="shared" si="84"/>
        <v>0</v>
      </c>
      <c r="L220" s="33">
        <f t="shared" si="85"/>
        <v>0</v>
      </c>
      <c r="M220" s="33">
        <f t="shared" si="86"/>
        <v>0</v>
      </c>
    </row>
    <row r="221" spans="1:13" ht="15.75" customHeight="1" x14ac:dyDescent="0.25">
      <c r="A221" s="37" t="s">
        <v>235</v>
      </c>
      <c r="B221" s="30"/>
      <c r="C221" s="2" t="s">
        <v>229</v>
      </c>
      <c r="D221" s="3" t="s">
        <v>3</v>
      </c>
      <c r="E221" s="3" t="s">
        <v>4</v>
      </c>
      <c r="F221" s="4">
        <v>445.58</v>
      </c>
      <c r="G221" s="31"/>
      <c r="H221" s="8">
        <f>-(G221/F221)+1</f>
        <v>1</v>
      </c>
      <c r="I221" s="9">
        <f>F221*(1-J221)</f>
        <v>445.58</v>
      </c>
      <c r="J221" s="34"/>
      <c r="K221" s="6">
        <f>B221*F221</f>
        <v>0</v>
      </c>
      <c r="L221" s="33">
        <f>B221*G221</f>
        <v>0</v>
      </c>
      <c r="M221" s="33">
        <f>B221*I221</f>
        <v>0</v>
      </c>
    </row>
    <row r="222" spans="1:13" ht="15.75" customHeight="1" x14ac:dyDescent="0.25">
      <c r="A222" s="37" t="s">
        <v>235</v>
      </c>
      <c r="B222" s="30"/>
      <c r="C222" s="2" t="s">
        <v>229</v>
      </c>
      <c r="D222" s="3" t="s">
        <v>5</v>
      </c>
      <c r="E222" s="3" t="s">
        <v>113</v>
      </c>
      <c r="F222" s="4">
        <v>131.05000000000001</v>
      </c>
      <c r="G222" s="31"/>
      <c r="H222" s="8">
        <f>-(G222/F222)+1</f>
        <v>1</v>
      </c>
      <c r="I222" s="9">
        <f>F222*(1-J222)</f>
        <v>131.05000000000001</v>
      </c>
      <c r="J222" s="34"/>
      <c r="K222" s="6">
        <f>B222*F222</f>
        <v>0</v>
      </c>
      <c r="L222" s="33">
        <f>B222*G222</f>
        <v>0</v>
      </c>
      <c r="M222" s="33">
        <f>B222*I222</f>
        <v>0</v>
      </c>
    </row>
    <row r="223" spans="1:13" ht="15.75" customHeight="1" x14ac:dyDescent="0.25">
      <c r="A223" s="37" t="s">
        <v>235</v>
      </c>
      <c r="B223" s="30"/>
      <c r="C223" s="2" t="s">
        <v>229</v>
      </c>
      <c r="D223" s="3" t="s">
        <v>18</v>
      </c>
      <c r="E223" s="3" t="s">
        <v>28</v>
      </c>
      <c r="F223" s="4">
        <v>26.21</v>
      </c>
      <c r="G223" s="31"/>
      <c r="H223" s="8">
        <f>-(G223/F223)+1</f>
        <v>1</v>
      </c>
      <c r="I223" s="9">
        <f>F223*(1-J223)</f>
        <v>26.21</v>
      </c>
      <c r="J223" s="34"/>
      <c r="K223" s="6">
        <f>B223*F223</f>
        <v>0</v>
      </c>
      <c r="L223" s="33">
        <f>B223*G223</f>
        <v>0</v>
      </c>
      <c r="M223" s="33">
        <f>B223*I223</f>
        <v>0</v>
      </c>
    </row>
    <row r="224" spans="1:13" ht="18.75" x14ac:dyDescent="0.3">
      <c r="A224" s="37" t="s">
        <v>234</v>
      </c>
      <c r="B224" s="22"/>
      <c r="C224" s="13" t="s">
        <v>138</v>
      </c>
      <c r="D224" s="13"/>
      <c r="E224" s="13"/>
      <c r="F224" s="13"/>
      <c r="G224" s="13"/>
      <c r="H224" s="13"/>
      <c r="I224" s="13"/>
      <c r="J224" s="13"/>
      <c r="K224" s="13"/>
      <c r="L224" s="13"/>
      <c r="M224" s="23"/>
    </row>
    <row r="225" spans="1:13" ht="38.25" customHeight="1" x14ac:dyDescent="0.25">
      <c r="A225" s="37" t="s">
        <v>232</v>
      </c>
      <c r="B225" s="27" t="s">
        <v>35</v>
      </c>
      <c r="C225" s="28" t="s">
        <v>0</v>
      </c>
      <c r="D225" s="28" t="s">
        <v>1</v>
      </c>
      <c r="E225" s="28" t="s">
        <v>2</v>
      </c>
      <c r="F225" s="29" t="s">
        <v>40</v>
      </c>
      <c r="G225" s="16" t="s">
        <v>41</v>
      </c>
      <c r="H225" s="16" t="s">
        <v>36</v>
      </c>
      <c r="I225" s="18" t="s">
        <v>41</v>
      </c>
      <c r="J225" s="18" t="s">
        <v>36</v>
      </c>
      <c r="K225" s="14" t="s">
        <v>43</v>
      </c>
      <c r="L225" s="16" t="s">
        <v>42</v>
      </c>
      <c r="M225" s="18" t="s">
        <v>42</v>
      </c>
    </row>
    <row r="226" spans="1:13" ht="15.75" customHeight="1" x14ac:dyDescent="0.25">
      <c r="A226" s="37" t="s">
        <v>235</v>
      </c>
      <c r="B226" s="30"/>
      <c r="C226" s="2" t="s">
        <v>25</v>
      </c>
      <c r="D226" s="3" t="s">
        <v>3</v>
      </c>
      <c r="E226" s="3" t="s">
        <v>4</v>
      </c>
      <c r="F226" s="4">
        <v>482.89939496064011</v>
      </c>
      <c r="G226" s="31"/>
      <c r="H226" s="8">
        <f t="shared" ref="H226:H278" si="87">-(G226/F226)+1</f>
        <v>1</v>
      </c>
      <c r="I226" s="9">
        <f t="shared" ref="I226:I238" si="88">F226*(1-J226)</f>
        <v>482.89939496064011</v>
      </c>
      <c r="J226" s="34"/>
      <c r="K226" s="6">
        <f t="shared" ref="K226:K278" si="89">B226*F226</f>
        <v>0</v>
      </c>
      <c r="L226" s="33">
        <f t="shared" ref="L226:L238" si="90">B226*G226</f>
        <v>0</v>
      </c>
      <c r="M226" s="33">
        <f t="shared" ref="M226:M238" si="91">B226*I226</f>
        <v>0</v>
      </c>
    </row>
    <row r="227" spans="1:13" ht="15.75" customHeight="1" x14ac:dyDescent="0.25">
      <c r="A227" s="37" t="s">
        <v>235</v>
      </c>
      <c r="B227" s="30"/>
      <c r="C227" s="2" t="s">
        <v>25</v>
      </c>
      <c r="D227" s="3" t="s">
        <v>5</v>
      </c>
      <c r="E227" s="3" t="s">
        <v>6</v>
      </c>
      <c r="F227" s="4">
        <v>120.72484874016003</v>
      </c>
      <c r="G227" s="31"/>
      <c r="H227" s="8">
        <f t="shared" si="87"/>
        <v>1</v>
      </c>
      <c r="I227" s="9">
        <f t="shared" si="88"/>
        <v>120.72484874016003</v>
      </c>
      <c r="J227" s="34"/>
      <c r="K227" s="6">
        <f t="shared" si="89"/>
        <v>0</v>
      </c>
      <c r="L227" s="33">
        <f t="shared" si="90"/>
        <v>0</v>
      </c>
      <c r="M227" s="33">
        <f t="shared" si="91"/>
        <v>0</v>
      </c>
    </row>
    <row r="228" spans="1:13" ht="15.75" customHeight="1" x14ac:dyDescent="0.25">
      <c r="A228" s="37" t="s">
        <v>235</v>
      </c>
      <c r="B228" s="30"/>
      <c r="C228" s="2" t="s">
        <v>26</v>
      </c>
      <c r="D228" s="3" t="s">
        <v>18</v>
      </c>
      <c r="E228" s="3" t="s">
        <v>28</v>
      </c>
      <c r="F228" s="4">
        <v>34.5</v>
      </c>
      <c r="G228" s="31"/>
      <c r="H228" s="8">
        <f t="shared" si="87"/>
        <v>1</v>
      </c>
      <c r="I228" s="9">
        <f t="shared" si="88"/>
        <v>34.5</v>
      </c>
      <c r="J228" s="34"/>
      <c r="K228" s="6">
        <f t="shared" si="89"/>
        <v>0</v>
      </c>
      <c r="L228" s="33">
        <f t="shared" si="90"/>
        <v>0</v>
      </c>
      <c r="M228" s="33">
        <f t="shared" si="91"/>
        <v>0</v>
      </c>
    </row>
    <row r="229" spans="1:13" ht="15.75" customHeight="1" x14ac:dyDescent="0.25">
      <c r="A229" s="37" t="s">
        <v>235</v>
      </c>
      <c r="B229" s="30"/>
      <c r="C229" s="2" t="s">
        <v>139</v>
      </c>
      <c r="D229" s="3" t="s">
        <v>3</v>
      </c>
      <c r="E229" s="3" t="s">
        <v>4</v>
      </c>
      <c r="F229" s="4">
        <v>382.08844800000003</v>
      </c>
      <c r="G229" s="31"/>
      <c r="H229" s="8">
        <f t="shared" si="87"/>
        <v>1</v>
      </c>
      <c r="I229" s="9">
        <f t="shared" si="88"/>
        <v>382.08844800000003</v>
      </c>
      <c r="J229" s="34"/>
      <c r="K229" s="6">
        <f t="shared" si="89"/>
        <v>0</v>
      </c>
      <c r="L229" s="33">
        <f t="shared" si="90"/>
        <v>0</v>
      </c>
      <c r="M229" s="33">
        <f t="shared" si="91"/>
        <v>0</v>
      </c>
    </row>
    <row r="230" spans="1:13" ht="15.75" customHeight="1" x14ac:dyDescent="0.25">
      <c r="A230" s="37" t="s">
        <v>235</v>
      </c>
      <c r="B230" s="30"/>
      <c r="C230" s="2" t="s">
        <v>139</v>
      </c>
      <c r="D230" s="3" t="s">
        <v>5</v>
      </c>
      <c r="E230" s="3" t="s">
        <v>6</v>
      </c>
      <c r="F230" s="4">
        <v>95.53</v>
      </c>
      <c r="G230" s="31"/>
      <c r="H230" s="8">
        <f t="shared" si="87"/>
        <v>1</v>
      </c>
      <c r="I230" s="9">
        <f t="shared" si="88"/>
        <v>95.53</v>
      </c>
      <c r="J230" s="34"/>
      <c r="K230" s="6">
        <f t="shared" si="89"/>
        <v>0</v>
      </c>
      <c r="L230" s="33">
        <f t="shared" si="90"/>
        <v>0</v>
      </c>
      <c r="M230" s="33">
        <f t="shared" si="91"/>
        <v>0</v>
      </c>
    </row>
    <row r="231" spans="1:13" ht="15.75" customHeight="1" x14ac:dyDescent="0.25">
      <c r="A231" s="37" t="s">
        <v>235</v>
      </c>
      <c r="B231" s="30"/>
      <c r="C231" s="2" t="s">
        <v>139</v>
      </c>
      <c r="D231" s="3" t="s">
        <v>18</v>
      </c>
      <c r="E231" s="3" t="s">
        <v>28</v>
      </c>
      <c r="F231" s="4">
        <v>27.292031999999999</v>
      </c>
      <c r="G231" s="31"/>
      <c r="H231" s="8">
        <f t="shared" si="87"/>
        <v>1</v>
      </c>
      <c r="I231" s="9">
        <f t="shared" si="88"/>
        <v>27.292031999999999</v>
      </c>
      <c r="J231" s="34"/>
      <c r="K231" s="6">
        <f t="shared" si="89"/>
        <v>0</v>
      </c>
      <c r="L231" s="33">
        <f t="shared" si="90"/>
        <v>0</v>
      </c>
      <c r="M231" s="33">
        <f t="shared" si="91"/>
        <v>0</v>
      </c>
    </row>
    <row r="232" spans="1:13" ht="15.75" customHeight="1" x14ac:dyDescent="0.25">
      <c r="A232" s="37" t="s">
        <v>235</v>
      </c>
      <c r="B232" s="30"/>
      <c r="C232" s="2" t="s">
        <v>140</v>
      </c>
      <c r="D232" s="3" t="s">
        <v>3</v>
      </c>
      <c r="E232" s="3" t="s">
        <v>4</v>
      </c>
      <c r="F232" s="4">
        <v>392.66640000000001</v>
      </c>
      <c r="G232" s="31"/>
      <c r="H232" s="8">
        <f t="shared" si="87"/>
        <v>1</v>
      </c>
      <c r="I232" s="9">
        <f t="shared" si="88"/>
        <v>392.66640000000001</v>
      </c>
      <c r="J232" s="34"/>
      <c r="K232" s="6">
        <f t="shared" si="89"/>
        <v>0</v>
      </c>
      <c r="L232" s="33">
        <f t="shared" si="90"/>
        <v>0</v>
      </c>
      <c r="M232" s="33">
        <f t="shared" si="91"/>
        <v>0</v>
      </c>
    </row>
    <row r="233" spans="1:13" ht="15.75" customHeight="1" x14ac:dyDescent="0.25">
      <c r="A233" s="37" t="s">
        <v>235</v>
      </c>
      <c r="B233" s="30"/>
      <c r="C233" s="2" t="s">
        <v>140</v>
      </c>
      <c r="D233" s="3" t="s">
        <v>5</v>
      </c>
      <c r="E233" s="3" t="s">
        <v>6</v>
      </c>
      <c r="F233" s="4">
        <v>98.166600000000003</v>
      </c>
      <c r="G233" s="31"/>
      <c r="H233" s="8">
        <f t="shared" si="87"/>
        <v>1</v>
      </c>
      <c r="I233" s="9">
        <f t="shared" si="88"/>
        <v>98.166600000000003</v>
      </c>
      <c r="J233" s="34"/>
      <c r="K233" s="6">
        <f t="shared" si="89"/>
        <v>0</v>
      </c>
      <c r="L233" s="33">
        <f t="shared" si="90"/>
        <v>0</v>
      </c>
      <c r="M233" s="33">
        <f t="shared" si="91"/>
        <v>0</v>
      </c>
    </row>
    <row r="234" spans="1:13" ht="15.75" customHeight="1" x14ac:dyDescent="0.25">
      <c r="A234" s="37" t="s">
        <v>235</v>
      </c>
      <c r="B234" s="30"/>
      <c r="C234" s="2" t="s">
        <v>140</v>
      </c>
      <c r="D234" s="3" t="s">
        <v>18</v>
      </c>
      <c r="E234" s="3" t="s">
        <v>28</v>
      </c>
      <c r="F234" s="4">
        <v>28.047599999999999</v>
      </c>
      <c r="G234" s="31"/>
      <c r="H234" s="8">
        <f t="shared" si="87"/>
        <v>1</v>
      </c>
      <c r="I234" s="9">
        <f t="shared" si="88"/>
        <v>28.047599999999999</v>
      </c>
      <c r="J234" s="34"/>
      <c r="K234" s="6">
        <f t="shared" si="89"/>
        <v>0</v>
      </c>
      <c r="L234" s="33">
        <f t="shared" si="90"/>
        <v>0</v>
      </c>
      <c r="M234" s="33">
        <f t="shared" si="91"/>
        <v>0</v>
      </c>
    </row>
    <row r="235" spans="1:13" ht="15.75" customHeight="1" x14ac:dyDescent="0.25">
      <c r="A235" s="37" t="s">
        <v>235</v>
      </c>
      <c r="B235" s="30"/>
      <c r="C235" s="2" t="s">
        <v>141</v>
      </c>
      <c r="D235" s="3" t="s">
        <v>5</v>
      </c>
      <c r="E235" s="3" t="s">
        <v>6</v>
      </c>
      <c r="F235" s="4">
        <v>112.44960000000002</v>
      </c>
      <c r="G235" s="31"/>
      <c r="H235" s="8">
        <f t="shared" si="87"/>
        <v>1</v>
      </c>
      <c r="I235" s="9">
        <f t="shared" si="88"/>
        <v>112.44960000000002</v>
      </c>
      <c r="J235" s="34"/>
      <c r="K235" s="6">
        <f t="shared" si="89"/>
        <v>0</v>
      </c>
      <c r="L235" s="33">
        <f t="shared" si="90"/>
        <v>0</v>
      </c>
      <c r="M235" s="33">
        <f t="shared" si="91"/>
        <v>0</v>
      </c>
    </row>
    <row r="236" spans="1:13" ht="15.75" customHeight="1" x14ac:dyDescent="0.25">
      <c r="A236" s="37" t="s">
        <v>235</v>
      </c>
      <c r="B236" s="30"/>
      <c r="C236" s="2" t="s">
        <v>141</v>
      </c>
      <c r="D236" s="3" t="s">
        <v>18</v>
      </c>
      <c r="E236" s="3" t="s">
        <v>28</v>
      </c>
      <c r="F236" s="4">
        <v>32.130000000000003</v>
      </c>
      <c r="G236" s="31"/>
      <c r="H236" s="8">
        <f t="shared" si="87"/>
        <v>1</v>
      </c>
      <c r="I236" s="9">
        <f t="shared" si="88"/>
        <v>32.130000000000003</v>
      </c>
      <c r="J236" s="34"/>
      <c r="K236" s="6">
        <f t="shared" si="89"/>
        <v>0</v>
      </c>
      <c r="L236" s="33">
        <f t="shared" si="90"/>
        <v>0</v>
      </c>
      <c r="M236" s="33">
        <f t="shared" si="91"/>
        <v>0</v>
      </c>
    </row>
    <row r="237" spans="1:13" ht="15.75" customHeight="1" x14ac:dyDescent="0.25">
      <c r="A237" s="37" t="s">
        <v>235</v>
      </c>
      <c r="B237" s="30"/>
      <c r="C237" s="2" t="s">
        <v>85</v>
      </c>
      <c r="D237" s="3" t="s">
        <v>13</v>
      </c>
      <c r="E237" s="3" t="s">
        <v>19</v>
      </c>
      <c r="F237" s="4">
        <v>13.1</v>
      </c>
      <c r="G237" s="31"/>
      <c r="H237" s="8">
        <f>-(G237/F237)+1</f>
        <v>1</v>
      </c>
      <c r="I237" s="9">
        <f t="shared" si="88"/>
        <v>13.1</v>
      </c>
      <c r="J237" s="34"/>
      <c r="K237" s="6">
        <f>B237*F237</f>
        <v>0</v>
      </c>
      <c r="L237" s="33">
        <f t="shared" si="90"/>
        <v>0</v>
      </c>
      <c r="M237" s="33">
        <f t="shared" si="91"/>
        <v>0</v>
      </c>
    </row>
    <row r="238" spans="1:13" ht="15.75" customHeight="1" x14ac:dyDescent="0.25">
      <c r="A238" s="37" t="s">
        <v>235</v>
      </c>
      <c r="B238" s="30"/>
      <c r="C238" s="2" t="s">
        <v>85</v>
      </c>
      <c r="D238" s="3" t="s">
        <v>13</v>
      </c>
      <c r="E238" s="3" t="s">
        <v>86</v>
      </c>
      <c r="F238" s="4">
        <v>5.3</v>
      </c>
      <c r="G238" s="31"/>
      <c r="H238" s="8">
        <f>-(G238/F238)+1</f>
        <v>1</v>
      </c>
      <c r="I238" s="9">
        <f t="shared" si="88"/>
        <v>5.3</v>
      </c>
      <c r="J238" s="34"/>
      <c r="K238" s="6">
        <f>B238*F238</f>
        <v>0</v>
      </c>
      <c r="L238" s="33">
        <f t="shared" si="90"/>
        <v>0</v>
      </c>
      <c r="M238" s="33">
        <f t="shared" si="91"/>
        <v>0</v>
      </c>
    </row>
    <row r="239" spans="1:13" ht="18.75" x14ac:dyDescent="0.3">
      <c r="A239" s="37" t="s">
        <v>233</v>
      </c>
      <c r="B239" s="25"/>
      <c r="C239" s="12" t="s">
        <v>143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26"/>
    </row>
    <row r="240" spans="1:13" ht="18.75" x14ac:dyDescent="0.3">
      <c r="A240" s="37" t="s">
        <v>234</v>
      </c>
      <c r="B240" s="22"/>
      <c r="C240" s="13" t="s">
        <v>53</v>
      </c>
      <c r="D240" s="13"/>
      <c r="E240" s="13"/>
      <c r="F240" s="13"/>
      <c r="G240" s="13"/>
      <c r="H240" s="13"/>
      <c r="I240" s="13"/>
      <c r="J240" s="13"/>
      <c r="K240" s="13"/>
      <c r="L240" s="13"/>
      <c r="M240" s="23"/>
    </row>
    <row r="241" spans="1:13" ht="38.25" customHeight="1" x14ac:dyDescent="0.25">
      <c r="A241" s="37" t="s">
        <v>232</v>
      </c>
      <c r="B241" s="27" t="s">
        <v>35</v>
      </c>
      <c r="C241" s="28" t="s">
        <v>0</v>
      </c>
      <c r="D241" s="28" t="s">
        <v>1</v>
      </c>
      <c r="E241" s="28" t="s">
        <v>2</v>
      </c>
      <c r="F241" s="29" t="s">
        <v>40</v>
      </c>
      <c r="G241" s="16" t="s">
        <v>41</v>
      </c>
      <c r="H241" s="16" t="s">
        <v>36</v>
      </c>
      <c r="I241" s="18" t="s">
        <v>41</v>
      </c>
      <c r="J241" s="18" t="s">
        <v>36</v>
      </c>
      <c r="K241" s="14" t="s">
        <v>43</v>
      </c>
      <c r="L241" s="16" t="s">
        <v>42</v>
      </c>
      <c r="M241" s="18" t="s">
        <v>42</v>
      </c>
    </row>
    <row r="242" spans="1:13" ht="15.75" customHeight="1" x14ac:dyDescent="0.25">
      <c r="A242" s="37" t="s">
        <v>235</v>
      </c>
      <c r="B242" s="30"/>
      <c r="C242" s="2" t="s">
        <v>144</v>
      </c>
      <c r="D242" s="3" t="s">
        <v>3</v>
      </c>
      <c r="E242" s="3" t="s">
        <v>29</v>
      </c>
      <c r="F242" s="4">
        <v>417.47039999999998</v>
      </c>
      <c r="G242" s="31"/>
      <c r="H242" s="8">
        <f t="shared" si="87"/>
        <v>1</v>
      </c>
      <c r="I242" s="9">
        <f t="shared" ref="I242:I249" si="92">F242*(1-J242)</f>
        <v>417.47039999999998</v>
      </c>
      <c r="J242" s="34"/>
      <c r="K242" s="6">
        <f t="shared" si="89"/>
        <v>0</v>
      </c>
      <c r="L242" s="33">
        <f t="shared" ref="L242:L249" si="93">B242*G242</f>
        <v>0</v>
      </c>
      <c r="M242" s="33">
        <f t="shared" ref="M242:M249" si="94">B242*I242</f>
        <v>0</v>
      </c>
    </row>
    <row r="243" spans="1:13" ht="15.75" customHeight="1" x14ac:dyDescent="0.25">
      <c r="A243" s="37" t="s">
        <v>235</v>
      </c>
      <c r="B243" s="30"/>
      <c r="C243" s="2" t="s">
        <v>144</v>
      </c>
      <c r="D243" s="3" t="s">
        <v>5</v>
      </c>
      <c r="E243" s="3" t="s">
        <v>27</v>
      </c>
      <c r="F243" s="4">
        <v>104.36895680000001</v>
      </c>
      <c r="G243" s="31"/>
      <c r="H243" s="8">
        <f t="shared" si="87"/>
        <v>1</v>
      </c>
      <c r="I243" s="9">
        <f t="shared" si="92"/>
        <v>104.36895680000001</v>
      </c>
      <c r="J243" s="34"/>
      <c r="K243" s="6">
        <f t="shared" si="89"/>
        <v>0</v>
      </c>
      <c r="L243" s="33">
        <f t="shared" si="93"/>
        <v>0</v>
      </c>
      <c r="M243" s="33">
        <f t="shared" si="94"/>
        <v>0</v>
      </c>
    </row>
    <row r="244" spans="1:13" ht="15.75" customHeight="1" x14ac:dyDescent="0.25">
      <c r="A244" s="37" t="s">
        <v>235</v>
      </c>
      <c r="B244" s="30"/>
      <c r="C244" s="2" t="s">
        <v>145</v>
      </c>
      <c r="D244" s="3" t="s">
        <v>3</v>
      </c>
      <c r="E244" s="3" t="s">
        <v>29</v>
      </c>
      <c r="F244" s="4">
        <v>354.86</v>
      </c>
      <c r="G244" s="31"/>
      <c r="H244" s="8">
        <f t="shared" si="87"/>
        <v>1</v>
      </c>
      <c r="I244" s="9">
        <f t="shared" si="92"/>
        <v>354.86</v>
      </c>
      <c r="J244" s="34"/>
      <c r="K244" s="6">
        <f t="shared" si="89"/>
        <v>0</v>
      </c>
      <c r="L244" s="33">
        <f t="shared" si="93"/>
        <v>0</v>
      </c>
      <c r="M244" s="33">
        <f t="shared" si="94"/>
        <v>0</v>
      </c>
    </row>
    <row r="245" spans="1:13" ht="15.75" customHeight="1" x14ac:dyDescent="0.25">
      <c r="A245" s="37" t="s">
        <v>235</v>
      </c>
      <c r="B245" s="30"/>
      <c r="C245" s="2" t="s">
        <v>145</v>
      </c>
      <c r="D245" s="3" t="s">
        <v>5</v>
      </c>
      <c r="E245" s="3" t="s">
        <v>27</v>
      </c>
      <c r="F245" s="4">
        <v>88.713613280000018</v>
      </c>
      <c r="G245" s="31"/>
      <c r="H245" s="8">
        <f t="shared" si="87"/>
        <v>1</v>
      </c>
      <c r="I245" s="9">
        <f t="shared" si="92"/>
        <v>88.713613280000018</v>
      </c>
      <c r="J245" s="34"/>
      <c r="K245" s="6">
        <f t="shared" si="89"/>
        <v>0</v>
      </c>
      <c r="L245" s="33">
        <f t="shared" si="93"/>
        <v>0</v>
      </c>
      <c r="M245" s="33">
        <f t="shared" si="94"/>
        <v>0</v>
      </c>
    </row>
    <row r="246" spans="1:13" ht="15.75" customHeight="1" x14ac:dyDescent="0.25">
      <c r="A246" s="37" t="s">
        <v>235</v>
      </c>
      <c r="B246" s="30"/>
      <c r="C246" s="2" t="s">
        <v>146</v>
      </c>
      <c r="D246" s="3" t="s">
        <v>3</v>
      </c>
      <c r="E246" s="3" t="s">
        <v>29</v>
      </c>
      <c r="F246" s="4">
        <v>301.6336</v>
      </c>
      <c r="G246" s="31"/>
      <c r="H246" s="8">
        <f t="shared" si="87"/>
        <v>1</v>
      </c>
      <c r="I246" s="9">
        <f t="shared" si="92"/>
        <v>301.6336</v>
      </c>
      <c r="J246" s="34"/>
      <c r="K246" s="6">
        <f t="shared" si="89"/>
        <v>0</v>
      </c>
      <c r="L246" s="33">
        <f t="shared" si="93"/>
        <v>0</v>
      </c>
      <c r="M246" s="33">
        <f t="shared" si="94"/>
        <v>0</v>
      </c>
    </row>
    <row r="247" spans="1:13" ht="15.75" customHeight="1" x14ac:dyDescent="0.25">
      <c r="A247" s="37" t="s">
        <v>235</v>
      </c>
      <c r="B247" s="30"/>
      <c r="C247" s="2" t="s">
        <v>146</v>
      </c>
      <c r="D247" s="3" t="s">
        <v>5</v>
      </c>
      <c r="E247" s="3" t="s">
        <v>27</v>
      </c>
      <c r="F247" s="4">
        <v>75.406571288000009</v>
      </c>
      <c r="G247" s="31"/>
      <c r="H247" s="8">
        <f t="shared" si="87"/>
        <v>1</v>
      </c>
      <c r="I247" s="9">
        <f t="shared" si="92"/>
        <v>75.406571288000009</v>
      </c>
      <c r="J247" s="34"/>
      <c r="K247" s="6">
        <f t="shared" si="89"/>
        <v>0</v>
      </c>
      <c r="L247" s="33">
        <f t="shared" si="93"/>
        <v>0</v>
      </c>
      <c r="M247" s="33">
        <f t="shared" si="94"/>
        <v>0</v>
      </c>
    </row>
    <row r="248" spans="1:13" ht="15.75" customHeight="1" x14ac:dyDescent="0.25">
      <c r="A248" s="37" t="s">
        <v>235</v>
      </c>
      <c r="B248" s="30"/>
      <c r="C248" s="2" t="s">
        <v>147</v>
      </c>
      <c r="D248" s="3" t="s">
        <v>7</v>
      </c>
      <c r="E248" s="3" t="s">
        <v>29</v>
      </c>
      <c r="F248" s="4">
        <v>354.84559999999999</v>
      </c>
      <c r="G248" s="31"/>
      <c r="H248" s="8">
        <f t="shared" si="87"/>
        <v>1</v>
      </c>
      <c r="I248" s="9">
        <f t="shared" si="92"/>
        <v>354.84559999999999</v>
      </c>
      <c r="J248" s="34"/>
      <c r="K248" s="6">
        <f t="shared" si="89"/>
        <v>0</v>
      </c>
      <c r="L248" s="33">
        <f t="shared" si="93"/>
        <v>0</v>
      </c>
      <c r="M248" s="33">
        <f t="shared" si="94"/>
        <v>0</v>
      </c>
    </row>
    <row r="249" spans="1:13" ht="15.75" customHeight="1" x14ac:dyDescent="0.25">
      <c r="A249" s="37" t="s">
        <v>235</v>
      </c>
      <c r="B249" s="30"/>
      <c r="C249" s="2" t="s">
        <v>147</v>
      </c>
      <c r="D249" s="3" t="s">
        <v>5</v>
      </c>
      <c r="E249" s="3" t="s">
        <v>27</v>
      </c>
      <c r="F249" s="4">
        <v>88.711399999999998</v>
      </c>
      <c r="G249" s="31"/>
      <c r="H249" s="8">
        <f t="shared" si="87"/>
        <v>1</v>
      </c>
      <c r="I249" s="9">
        <f t="shared" si="92"/>
        <v>88.711399999999998</v>
      </c>
      <c r="J249" s="34"/>
      <c r="K249" s="6">
        <f t="shared" si="89"/>
        <v>0</v>
      </c>
      <c r="L249" s="33">
        <f t="shared" si="93"/>
        <v>0</v>
      </c>
      <c r="M249" s="33">
        <f t="shared" si="94"/>
        <v>0</v>
      </c>
    </row>
    <row r="250" spans="1:13" ht="18.75" x14ac:dyDescent="0.3">
      <c r="A250" s="37" t="s">
        <v>234</v>
      </c>
      <c r="B250" s="22"/>
      <c r="C250" s="13" t="s">
        <v>49</v>
      </c>
      <c r="D250" s="13"/>
      <c r="E250" s="13"/>
      <c r="F250" s="13"/>
      <c r="G250" s="13"/>
      <c r="H250" s="13"/>
      <c r="I250" s="13"/>
      <c r="J250" s="13"/>
      <c r="K250" s="13"/>
      <c r="L250" s="13"/>
      <c r="M250" s="23"/>
    </row>
    <row r="251" spans="1:13" ht="38.25" customHeight="1" x14ac:dyDescent="0.25">
      <c r="A251" s="37" t="s">
        <v>232</v>
      </c>
      <c r="B251" s="27" t="s">
        <v>35</v>
      </c>
      <c r="C251" s="28" t="s">
        <v>0</v>
      </c>
      <c r="D251" s="28" t="s">
        <v>1</v>
      </c>
      <c r="E251" s="28" t="s">
        <v>2</v>
      </c>
      <c r="F251" s="29" t="s">
        <v>40</v>
      </c>
      <c r="G251" s="16" t="s">
        <v>41</v>
      </c>
      <c r="H251" s="16" t="s">
        <v>36</v>
      </c>
      <c r="I251" s="18" t="s">
        <v>41</v>
      </c>
      <c r="J251" s="18" t="s">
        <v>36</v>
      </c>
      <c r="K251" s="14" t="s">
        <v>43</v>
      </c>
      <c r="L251" s="16" t="s">
        <v>42</v>
      </c>
      <c r="M251" s="18" t="s">
        <v>42</v>
      </c>
    </row>
    <row r="252" spans="1:13" ht="15.75" customHeight="1" x14ac:dyDescent="0.25">
      <c r="A252" s="37" t="s">
        <v>235</v>
      </c>
      <c r="B252" s="30"/>
      <c r="C252" s="2" t="s">
        <v>148</v>
      </c>
      <c r="D252" s="3" t="s">
        <v>3</v>
      </c>
      <c r="E252" s="3" t="s">
        <v>29</v>
      </c>
      <c r="F252" s="4">
        <v>299.39670320000005</v>
      </c>
      <c r="G252" s="31"/>
      <c r="H252" s="8">
        <f t="shared" si="87"/>
        <v>1</v>
      </c>
      <c r="I252" s="9">
        <f t="shared" ref="I252:I278" si="95">F252*(1-J252)</f>
        <v>299.39670320000005</v>
      </c>
      <c r="J252" s="34"/>
      <c r="K252" s="6">
        <f t="shared" si="89"/>
        <v>0</v>
      </c>
      <c r="L252" s="33">
        <f t="shared" ref="L252:L278" si="96">B252*G252</f>
        <v>0</v>
      </c>
      <c r="M252" s="33">
        <f t="shared" ref="M252:M278" si="97">B252*I252</f>
        <v>0</v>
      </c>
    </row>
    <row r="253" spans="1:13" ht="15.75" customHeight="1" x14ac:dyDescent="0.25">
      <c r="A253" s="37" t="s">
        <v>235</v>
      </c>
      <c r="B253" s="30"/>
      <c r="C253" s="2" t="s">
        <v>148</v>
      </c>
      <c r="D253" s="3" t="s">
        <v>5</v>
      </c>
      <c r="E253" s="3" t="s">
        <v>27</v>
      </c>
      <c r="F253" s="4">
        <v>74.86</v>
      </c>
      <c r="G253" s="31"/>
      <c r="H253" s="8">
        <f t="shared" si="87"/>
        <v>1</v>
      </c>
      <c r="I253" s="9">
        <f t="shared" si="95"/>
        <v>74.86</v>
      </c>
      <c r="J253" s="34"/>
      <c r="K253" s="6">
        <f t="shared" si="89"/>
        <v>0</v>
      </c>
      <c r="L253" s="33">
        <f t="shared" si="96"/>
        <v>0</v>
      </c>
      <c r="M253" s="33">
        <f t="shared" si="97"/>
        <v>0</v>
      </c>
    </row>
    <row r="254" spans="1:13" ht="15.75" customHeight="1" x14ac:dyDescent="0.25">
      <c r="A254" s="37" t="s">
        <v>235</v>
      </c>
      <c r="B254" s="30"/>
      <c r="C254" s="2" t="s">
        <v>148</v>
      </c>
      <c r="D254" s="3" t="s">
        <v>18</v>
      </c>
      <c r="E254" s="3" t="s">
        <v>151</v>
      </c>
      <c r="F254" s="4">
        <v>21.380200000000002</v>
      </c>
      <c r="G254" s="31"/>
      <c r="H254" s="8">
        <f t="shared" si="87"/>
        <v>1</v>
      </c>
      <c r="I254" s="9">
        <f t="shared" si="95"/>
        <v>21.380200000000002</v>
      </c>
      <c r="J254" s="34"/>
      <c r="K254" s="6">
        <f t="shared" si="89"/>
        <v>0</v>
      </c>
      <c r="L254" s="33">
        <f t="shared" si="96"/>
        <v>0</v>
      </c>
      <c r="M254" s="33">
        <f t="shared" si="97"/>
        <v>0</v>
      </c>
    </row>
    <row r="255" spans="1:13" ht="15.75" customHeight="1" x14ac:dyDescent="0.25">
      <c r="A255" s="37" t="s">
        <v>235</v>
      </c>
      <c r="B255" s="30"/>
      <c r="C255" s="2" t="s">
        <v>149</v>
      </c>
      <c r="D255" s="3" t="s">
        <v>3</v>
      </c>
      <c r="E255" s="3" t="s">
        <v>29</v>
      </c>
      <c r="F255" s="4">
        <v>254.48</v>
      </c>
      <c r="G255" s="31"/>
      <c r="H255" s="8">
        <f t="shared" si="87"/>
        <v>1</v>
      </c>
      <c r="I255" s="9">
        <f t="shared" si="95"/>
        <v>254.48</v>
      </c>
      <c r="J255" s="34"/>
      <c r="K255" s="6">
        <f t="shared" si="89"/>
        <v>0</v>
      </c>
      <c r="L255" s="33">
        <f t="shared" si="96"/>
        <v>0</v>
      </c>
      <c r="M255" s="33">
        <f t="shared" si="97"/>
        <v>0</v>
      </c>
    </row>
    <row r="256" spans="1:13" ht="15.75" customHeight="1" x14ac:dyDescent="0.25">
      <c r="A256" s="37" t="s">
        <v>235</v>
      </c>
      <c r="B256" s="30"/>
      <c r="C256" s="2" t="s">
        <v>149</v>
      </c>
      <c r="D256" s="3" t="s">
        <v>5</v>
      </c>
      <c r="E256" s="3" t="s">
        <v>27</v>
      </c>
      <c r="F256" s="4">
        <v>63.621799430000003</v>
      </c>
      <c r="G256" s="31"/>
      <c r="H256" s="8">
        <f t="shared" si="87"/>
        <v>1</v>
      </c>
      <c r="I256" s="9">
        <f t="shared" si="95"/>
        <v>63.621799430000003</v>
      </c>
      <c r="J256" s="34"/>
      <c r="K256" s="6">
        <f t="shared" si="89"/>
        <v>0</v>
      </c>
      <c r="L256" s="33">
        <f t="shared" si="96"/>
        <v>0</v>
      </c>
      <c r="M256" s="33">
        <f t="shared" si="97"/>
        <v>0</v>
      </c>
    </row>
    <row r="257" spans="1:13" ht="15.75" customHeight="1" x14ac:dyDescent="0.25">
      <c r="A257" s="37" t="s">
        <v>235</v>
      </c>
      <c r="B257" s="30"/>
      <c r="C257" s="2" t="s">
        <v>149</v>
      </c>
      <c r="D257" s="3" t="s">
        <v>18</v>
      </c>
      <c r="E257" s="3" t="s">
        <v>151</v>
      </c>
      <c r="F257" s="4">
        <v>17.670200000000001</v>
      </c>
      <c r="G257" s="31"/>
      <c r="H257" s="8">
        <f t="shared" si="87"/>
        <v>1</v>
      </c>
      <c r="I257" s="9">
        <f t="shared" si="95"/>
        <v>17.670200000000001</v>
      </c>
      <c r="J257" s="34"/>
      <c r="K257" s="6">
        <f t="shared" si="89"/>
        <v>0</v>
      </c>
      <c r="L257" s="33">
        <f t="shared" si="96"/>
        <v>0</v>
      </c>
      <c r="M257" s="33">
        <f t="shared" si="97"/>
        <v>0</v>
      </c>
    </row>
    <row r="258" spans="1:13" ht="15.75" customHeight="1" x14ac:dyDescent="0.25">
      <c r="A258" s="37" t="s">
        <v>235</v>
      </c>
      <c r="B258" s="30"/>
      <c r="C258" s="2" t="s">
        <v>150</v>
      </c>
      <c r="D258" s="3" t="s">
        <v>3</v>
      </c>
      <c r="E258" s="3" t="s">
        <v>29</v>
      </c>
      <c r="F258" s="4">
        <v>216.31411806199998</v>
      </c>
      <c r="G258" s="31"/>
      <c r="H258" s="8">
        <f t="shared" si="87"/>
        <v>1</v>
      </c>
      <c r="I258" s="9">
        <f t="shared" si="95"/>
        <v>216.31411806199998</v>
      </c>
      <c r="J258" s="34"/>
      <c r="K258" s="6">
        <f t="shared" si="89"/>
        <v>0</v>
      </c>
      <c r="L258" s="33">
        <f t="shared" si="96"/>
        <v>0</v>
      </c>
      <c r="M258" s="33">
        <f t="shared" si="97"/>
        <v>0</v>
      </c>
    </row>
    <row r="259" spans="1:13" ht="15.75" customHeight="1" x14ac:dyDescent="0.25">
      <c r="A259" s="37" t="s">
        <v>235</v>
      </c>
      <c r="B259" s="30"/>
      <c r="C259" s="2" t="s">
        <v>150</v>
      </c>
      <c r="D259" s="3" t="s">
        <v>5</v>
      </c>
      <c r="E259" s="3" t="s">
        <v>27</v>
      </c>
      <c r="F259" s="4">
        <v>54.078529515499994</v>
      </c>
      <c r="G259" s="31"/>
      <c r="H259" s="8">
        <f t="shared" si="87"/>
        <v>1</v>
      </c>
      <c r="I259" s="9">
        <f t="shared" si="95"/>
        <v>54.078529515499994</v>
      </c>
      <c r="J259" s="34"/>
      <c r="K259" s="6">
        <f t="shared" si="89"/>
        <v>0</v>
      </c>
      <c r="L259" s="33">
        <f t="shared" si="96"/>
        <v>0</v>
      </c>
      <c r="M259" s="33">
        <f t="shared" si="97"/>
        <v>0</v>
      </c>
    </row>
    <row r="260" spans="1:13" ht="15.75" customHeight="1" x14ac:dyDescent="0.25">
      <c r="A260" s="37" t="s">
        <v>235</v>
      </c>
      <c r="B260" s="30"/>
      <c r="C260" s="2" t="s">
        <v>150</v>
      </c>
      <c r="D260" s="3" t="s">
        <v>18</v>
      </c>
      <c r="E260" s="3" t="s">
        <v>151</v>
      </c>
      <c r="F260" s="4">
        <v>15.454800000000001</v>
      </c>
      <c r="G260" s="31"/>
      <c r="H260" s="8">
        <f t="shared" si="87"/>
        <v>1</v>
      </c>
      <c r="I260" s="9">
        <f t="shared" si="95"/>
        <v>15.454800000000001</v>
      </c>
      <c r="J260" s="34"/>
      <c r="K260" s="6">
        <f t="shared" si="89"/>
        <v>0</v>
      </c>
      <c r="L260" s="33">
        <f t="shared" si="96"/>
        <v>0</v>
      </c>
      <c r="M260" s="33">
        <f t="shared" si="97"/>
        <v>0</v>
      </c>
    </row>
    <row r="261" spans="1:13" ht="15.75" customHeight="1" x14ac:dyDescent="0.25">
      <c r="A261" s="37" t="s">
        <v>235</v>
      </c>
      <c r="B261" s="30"/>
      <c r="C261" s="2" t="s">
        <v>152</v>
      </c>
      <c r="D261" s="3" t="s">
        <v>3</v>
      </c>
      <c r="E261" s="3" t="s">
        <v>29</v>
      </c>
      <c r="F261" s="4">
        <v>318.18666600000006</v>
      </c>
      <c r="G261" s="31"/>
      <c r="H261" s="8">
        <f t="shared" si="87"/>
        <v>1</v>
      </c>
      <c r="I261" s="9">
        <f t="shared" si="95"/>
        <v>318.18666600000006</v>
      </c>
      <c r="J261" s="34"/>
      <c r="K261" s="6">
        <f t="shared" si="89"/>
        <v>0</v>
      </c>
      <c r="L261" s="33">
        <f t="shared" si="96"/>
        <v>0</v>
      </c>
      <c r="M261" s="33">
        <f t="shared" si="97"/>
        <v>0</v>
      </c>
    </row>
    <row r="262" spans="1:13" ht="15.75" customHeight="1" x14ac:dyDescent="0.25">
      <c r="A262" s="37" t="s">
        <v>235</v>
      </c>
      <c r="B262" s="30"/>
      <c r="C262" s="2" t="s">
        <v>152</v>
      </c>
      <c r="D262" s="3" t="s">
        <v>5</v>
      </c>
      <c r="E262" s="3" t="s">
        <v>27</v>
      </c>
      <c r="F262" s="4">
        <v>79.546666500000015</v>
      </c>
      <c r="G262" s="31"/>
      <c r="H262" s="8">
        <f t="shared" si="87"/>
        <v>1</v>
      </c>
      <c r="I262" s="9">
        <f t="shared" si="95"/>
        <v>79.546666500000015</v>
      </c>
      <c r="J262" s="34"/>
      <c r="K262" s="6">
        <f t="shared" si="89"/>
        <v>0</v>
      </c>
      <c r="L262" s="33">
        <f t="shared" si="96"/>
        <v>0</v>
      </c>
      <c r="M262" s="33">
        <f t="shared" si="97"/>
        <v>0</v>
      </c>
    </row>
    <row r="263" spans="1:13" ht="15.75" customHeight="1" x14ac:dyDescent="0.25">
      <c r="A263" s="37" t="s">
        <v>235</v>
      </c>
      <c r="B263" s="30"/>
      <c r="C263" s="2" t="s">
        <v>152</v>
      </c>
      <c r="D263" s="3" t="s">
        <v>18</v>
      </c>
      <c r="E263" s="3" t="s">
        <v>151</v>
      </c>
      <c r="F263" s="4">
        <v>22.726400000000002</v>
      </c>
      <c r="G263" s="31"/>
      <c r="H263" s="8">
        <f t="shared" si="87"/>
        <v>1</v>
      </c>
      <c r="I263" s="9">
        <f t="shared" si="95"/>
        <v>22.726400000000002</v>
      </c>
      <c r="J263" s="34"/>
      <c r="K263" s="6">
        <f t="shared" si="89"/>
        <v>0</v>
      </c>
      <c r="L263" s="33">
        <f t="shared" si="96"/>
        <v>0</v>
      </c>
      <c r="M263" s="33">
        <f t="shared" si="97"/>
        <v>0</v>
      </c>
    </row>
    <row r="264" spans="1:13" ht="15.75" customHeight="1" x14ac:dyDescent="0.25">
      <c r="A264" s="37" t="s">
        <v>235</v>
      </c>
      <c r="B264" s="30"/>
      <c r="C264" s="2" t="s">
        <v>153</v>
      </c>
      <c r="D264" s="3" t="s">
        <v>3</v>
      </c>
      <c r="E264" s="3" t="s">
        <v>29</v>
      </c>
      <c r="F264" s="4">
        <v>270.45866610000002</v>
      </c>
      <c r="G264" s="31"/>
      <c r="H264" s="8">
        <f t="shared" si="87"/>
        <v>1</v>
      </c>
      <c r="I264" s="9">
        <f t="shared" si="95"/>
        <v>270.45866610000002</v>
      </c>
      <c r="J264" s="34"/>
      <c r="K264" s="6">
        <f t="shared" si="89"/>
        <v>0</v>
      </c>
      <c r="L264" s="33">
        <f t="shared" si="96"/>
        <v>0</v>
      </c>
      <c r="M264" s="33">
        <f t="shared" si="97"/>
        <v>0</v>
      </c>
    </row>
    <row r="265" spans="1:13" ht="15.75" customHeight="1" x14ac:dyDescent="0.25">
      <c r="A265" s="37" t="s">
        <v>235</v>
      </c>
      <c r="B265" s="30"/>
      <c r="C265" s="2" t="s">
        <v>153</v>
      </c>
      <c r="D265" s="3" t="s">
        <v>5</v>
      </c>
      <c r="E265" s="3" t="s">
        <v>27</v>
      </c>
      <c r="F265" s="4">
        <v>67.62</v>
      </c>
      <c r="G265" s="31"/>
      <c r="H265" s="8">
        <f t="shared" si="87"/>
        <v>1</v>
      </c>
      <c r="I265" s="9">
        <f t="shared" si="95"/>
        <v>67.62</v>
      </c>
      <c r="J265" s="34"/>
      <c r="K265" s="6">
        <f t="shared" si="89"/>
        <v>0</v>
      </c>
      <c r="L265" s="33">
        <f t="shared" si="96"/>
        <v>0</v>
      </c>
      <c r="M265" s="33">
        <f t="shared" si="97"/>
        <v>0</v>
      </c>
    </row>
    <row r="266" spans="1:13" ht="15.75" customHeight="1" x14ac:dyDescent="0.25">
      <c r="A266" s="37" t="s">
        <v>235</v>
      </c>
      <c r="B266" s="30"/>
      <c r="C266" s="2" t="s">
        <v>153</v>
      </c>
      <c r="D266" s="3" t="s">
        <v>18</v>
      </c>
      <c r="E266" s="3" t="s">
        <v>151</v>
      </c>
      <c r="F266" s="4">
        <v>19.313199999999998</v>
      </c>
      <c r="G266" s="31"/>
      <c r="H266" s="8">
        <f t="shared" si="87"/>
        <v>1</v>
      </c>
      <c r="I266" s="9">
        <f t="shared" si="95"/>
        <v>19.313199999999998</v>
      </c>
      <c r="J266" s="34"/>
      <c r="K266" s="6">
        <f t="shared" si="89"/>
        <v>0</v>
      </c>
      <c r="L266" s="33">
        <f t="shared" si="96"/>
        <v>0</v>
      </c>
      <c r="M266" s="33">
        <f t="shared" si="97"/>
        <v>0</v>
      </c>
    </row>
    <row r="267" spans="1:13" ht="15.75" customHeight="1" x14ac:dyDescent="0.25">
      <c r="A267" s="37" t="s">
        <v>235</v>
      </c>
      <c r="B267" s="30"/>
      <c r="C267" s="2" t="s">
        <v>154</v>
      </c>
      <c r="D267" s="3" t="s">
        <v>3</v>
      </c>
      <c r="E267" s="3" t="s">
        <v>29</v>
      </c>
      <c r="F267" s="4">
        <v>229.88986618500002</v>
      </c>
      <c r="G267" s="31"/>
      <c r="H267" s="8">
        <f t="shared" si="87"/>
        <v>1</v>
      </c>
      <c r="I267" s="9">
        <f t="shared" si="95"/>
        <v>229.88986618500002</v>
      </c>
      <c r="J267" s="34"/>
      <c r="K267" s="6">
        <f t="shared" si="89"/>
        <v>0</v>
      </c>
      <c r="L267" s="33">
        <f t="shared" si="96"/>
        <v>0</v>
      </c>
      <c r="M267" s="33">
        <f t="shared" si="97"/>
        <v>0</v>
      </c>
    </row>
    <row r="268" spans="1:13" ht="15.75" customHeight="1" x14ac:dyDescent="0.25">
      <c r="A268" s="37" t="s">
        <v>235</v>
      </c>
      <c r="B268" s="30"/>
      <c r="C268" s="2" t="s">
        <v>154</v>
      </c>
      <c r="D268" s="3" t="s">
        <v>5</v>
      </c>
      <c r="E268" s="3" t="s">
        <v>27</v>
      </c>
      <c r="F268" s="4">
        <v>57.472466546250004</v>
      </c>
      <c r="G268" s="31"/>
      <c r="H268" s="8">
        <f t="shared" si="87"/>
        <v>1</v>
      </c>
      <c r="I268" s="9">
        <f t="shared" si="95"/>
        <v>57.472466546250004</v>
      </c>
      <c r="J268" s="34"/>
      <c r="K268" s="6">
        <f t="shared" si="89"/>
        <v>0</v>
      </c>
      <c r="L268" s="33">
        <f t="shared" si="96"/>
        <v>0</v>
      </c>
      <c r="M268" s="33">
        <f t="shared" si="97"/>
        <v>0</v>
      </c>
    </row>
    <row r="269" spans="1:13" ht="15.75" customHeight="1" x14ac:dyDescent="0.25">
      <c r="A269" s="37" t="s">
        <v>235</v>
      </c>
      <c r="B269" s="30"/>
      <c r="C269" s="2" t="s">
        <v>154</v>
      </c>
      <c r="D269" s="3" t="s">
        <v>18</v>
      </c>
      <c r="E269" s="3" t="s">
        <v>151</v>
      </c>
      <c r="F269" s="4">
        <v>16.4194</v>
      </c>
      <c r="G269" s="31"/>
      <c r="H269" s="8">
        <f t="shared" si="87"/>
        <v>1</v>
      </c>
      <c r="I269" s="9">
        <f t="shared" si="95"/>
        <v>16.4194</v>
      </c>
      <c r="J269" s="34"/>
      <c r="K269" s="6">
        <f t="shared" si="89"/>
        <v>0</v>
      </c>
      <c r="L269" s="33">
        <f t="shared" si="96"/>
        <v>0</v>
      </c>
      <c r="M269" s="33">
        <f t="shared" si="97"/>
        <v>0</v>
      </c>
    </row>
    <row r="270" spans="1:13" ht="15.75" customHeight="1" x14ac:dyDescent="0.25">
      <c r="A270" s="37" t="s">
        <v>235</v>
      </c>
      <c r="B270" s="30"/>
      <c r="C270" s="2" t="s">
        <v>155</v>
      </c>
      <c r="D270" s="3" t="s">
        <v>3</v>
      </c>
      <c r="E270" s="3" t="s">
        <v>29</v>
      </c>
      <c r="F270" s="4">
        <v>335.01032879999997</v>
      </c>
      <c r="G270" s="31"/>
      <c r="H270" s="8">
        <f t="shared" si="87"/>
        <v>1</v>
      </c>
      <c r="I270" s="9">
        <f t="shared" si="95"/>
        <v>335.01032879999997</v>
      </c>
      <c r="J270" s="34"/>
      <c r="K270" s="6">
        <f t="shared" si="89"/>
        <v>0</v>
      </c>
      <c r="L270" s="33">
        <f t="shared" si="96"/>
        <v>0</v>
      </c>
      <c r="M270" s="33">
        <f t="shared" si="97"/>
        <v>0</v>
      </c>
    </row>
    <row r="271" spans="1:13" ht="15.75" customHeight="1" x14ac:dyDescent="0.25">
      <c r="A271" s="37" t="s">
        <v>235</v>
      </c>
      <c r="B271" s="30"/>
      <c r="C271" s="2" t="s">
        <v>155</v>
      </c>
      <c r="D271" s="3" t="s">
        <v>5</v>
      </c>
      <c r="E271" s="3" t="s">
        <v>27</v>
      </c>
      <c r="F271" s="4">
        <v>83.752582199999992</v>
      </c>
      <c r="G271" s="31"/>
      <c r="H271" s="8">
        <f t="shared" si="87"/>
        <v>1</v>
      </c>
      <c r="I271" s="9">
        <f t="shared" si="95"/>
        <v>83.752582199999992</v>
      </c>
      <c r="J271" s="34"/>
      <c r="K271" s="6">
        <f t="shared" si="89"/>
        <v>0</v>
      </c>
      <c r="L271" s="33">
        <f t="shared" si="96"/>
        <v>0</v>
      </c>
      <c r="M271" s="33">
        <f t="shared" si="97"/>
        <v>0</v>
      </c>
    </row>
    <row r="272" spans="1:13" ht="15.75" customHeight="1" x14ac:dyDescent="0.25">
      <c r="A272" s="37" t="s">
        <v>235</v>
      </c>
      <c r="B272" s="30"/>
      <c r="C272" s="2" t="s">
        <v>155</v>
      </c>
      <c r="D272" s="3" t="s">
        <v>18</v>
      </c>
      <c r="E272" s="3" t="s">
        <v>151</v>
      </c>
      <c r="F272" s="4">
        <v>23.93</v>
      </c>
      <c r="G272" s="31"/>
      <c r="H272" s="8">
        <f t="shared" si="87"/>
        <v>1</v>
      </c>
      <c r="I272" s="9">
        <f t="shared" si="95"/>
        <v>23.93</v>
      </c>
      <c r="J272" s="34"/>
      <c r="K272" s="6">
        <f t="shared" si="89"/>
        <v>0</v>
      </c>
      <c r="L272" s="33">
        <f t="shared" si="96"/>
        <v>0</v>
      </c>
      <c r="M272" s="33">
        <f t="shared" si="97"/>
        <v>0</v>
      </c>
    </row>
    <row r="273" spans="1:13" ht="15.75" customHeight="1" x14ac:dyDescent="0.25">
      <c r="A273" s="37" t="s">
        <v>235</v>
      </c>
      <c r="B273" s="30"/>
      <c r="C273" s="2" t="s">
        <v>156</v>
      </c>
      <c r="D273" s="3" t="s">
        <v>3</v>
      </c>
      <c r="E273" s="3" t="s">
        <v>29</v>
      </c>
      <c r="F273" s="4">
        <v>284.75877947999993</v>
      </c>
      <c r="G273" s="31"/>
      <c r="H273" s="8">
        <f t="shared" si="87"/>
        <v>1</v>
      </c>
      <c r="I273" s="9">
        <f t="shared" si="95"/>
        <v>284.75877947999993</v>
      </c>
      <c r="J273" s="34"/>
      <c r="K273" s="6">
        <f t="shared" si="89"/>
        <v>0</v>
      </c>
      <c r="L273" s="33">
        <f t="shared" si="96"/>
        <v>0</v>
      </c>
      <c r="M273" s="33">
        <f t="shared" si="97"/>
        <v>0</v>
      </c>
    </row>
    <row r="274" spans="1:13" ht="15.75" customHeight="1" x14ac:dyDescent="0.25">
      <c r="A274" s="37" t="s">
        <v>235</v>
      </c>
      <c r="B274" s="30"/>
      <c r="C274" s="2" t="s">
        <v>156</v>
      </c>
      <c r="D274" s="3" t="s">
        <v>5</v>
      </c>
      <c r="E274" s="3" t="s">
        <v>27</v>
      </c>
      <c r="F274" s="4">
        <v>71.189694869999983</v>
      </c>
      <c r="G274" s="31"/>
      <c r="H274" s="8">
        <f t="shared" si="87"/>
        <v>1</v>
      </c>
      <c r="I274" s="9">
        <f t="shared" si="95"/>
        <v>71.189694869999983</v>
      </c>
      <c r="J274" s="34"/>
      <c r="K274" s="6">
        <f t="shared" si="89"/>
        <v>0</v>
      </c>
      <c r="L274" s="33">
        <f t="shared" si="96"/>
        <v>0</v>
      </c>
      <c r="M274" s="33">
        <f t="shared" si="97"/>
        <v>0</v>
      </c>
    </row>
    <row r="275" spans="1:13" ht="15.75" customHeight="1" x14ac:dyDescent="0.25">
      <c r="A275" s="37" t="s">
        <v>235</v>
      </c>
      <c r="B275" s="30"/>
      <c r="C275" s="2" t="s">
        <v>156</v>
      </c>
      <c r="D275" s="3" t="s">
        <v>18</v>
      </c>
      <c r="E275" s="3" t="s">
        <v>151</v>
      </c>
      <c r="F275" s="4">
        <v>20.341400000000004</v>
      </c>
      <c r="G275" s="31"/>
      <c r="H275" s="8">
        <f t="shared" si="87"/>
        <v>1</v>
      </c>
      <c r="I275" s="9">
        <f t="shared" si="95"/>
        <v>20.341400000000004</v>
      </c>
      <c r="J275" s="34"/>
      <c r="K275" s="6">
        <f t="shared" si="89"/>
        <v>0</v>
      </c>
      <c r="L275" s="33">
        <f t="shared" si="96"/>
        <v>0</v>
      </c>
      <c r="M275" s="33">
        <f t="shared" si="97"/>
        <v>0</v>
      </c>
    </row>
    <row r="276" spans="1:13" ht="15.75" customHeight="1" x14ac:dyDescent="0.25">
      <c r="A276" s="37" t="s">
        <v>235</v>
      </c>
      <c r="B276" s="30"/>
      <c r="C276" s="2" t="s">
        <v>157</v>
      </c>
      <c r="D276" s="3" t="s">
        <v>3</v>
      </c>
      <c r="E276" s="3" t="s">
        <v>29</v>
      </c>
      <c r="F276" s="4">
        <v>242.05</v>
      </c>
      <c r="G276" s="31"/>
      <c r="H276" s="8">
        <f t="shared" si="87"/>
        <v>1</v>
      </c>
      <c r="I276" s="9">
        <f t="shared" si="95"/>
        <v>242.05</v>
      </c>
      <c r="J276" s="34"/>
      <c r="K276" s="6">
        <f t="shared" si="89"/>
        <v>0</v>
      </c>
      <c r="L276" s="33">
        <f t="shared" si="96"/>
        <v>0</v>
      </c>
      <c r="M276" s="33">
        <f t="shared" si="97"/>
        <v>0</v>
      </c>
    </row>
    <row r="277" spans="1:13" ht="15.75" customHeight="1" x14ac:dyDescent="0.25">
      <c r="A277" s="37" t="s">
        <v>235</v>
      </c>
      <c r="B277" s="30"/>
      <c r="C277" s="2" t="s">
        <v>157</v>
      </c>
      <c r="D277" s="3" t="s">
        <v>5</v>
      </c>
      <c r="E277" s="3" t="s">
        <v>27</v>
      </c>
      <c r="F277" s="4">
        <v>60.5</v>
      </c>
      <c r="G277" s="31"/>
      <c r="H277" s="8">
        <f t="shared" si="87"/>
        <v>1</v>
      </c>
      <c r="I277" s="9">
        <f t="shared" si="95"/>
        <v>60.5</v>
      </c>
      <c r="J277" s="34"/>
      <c r="K277" s="6">
        <f t="shared" si="89"/>
        <v>0</v>
      </c>
      <c r="L277" s="33">
        <f t="shared" si="96"/>
        <v>0</v>
      </c>
      <c r="M277" s="33">
        <f t="shared" si="97"/>
        <v>0</v>
      </c>
    </row>
    <row r="278" spans="1:13" ht="15.75" customHeight="1" x14ac:dyDescent="0.25">
      <c r="A278" s="37" t="s">
        <v>235</v>
      </c>
      <c r="B278" s="30"/>
      <c r="C278" s="2" t="s">
        <v>157</v>
      </c>
      <c r="D278" s="3" t="s">
        <v>18</v>
      </c>
      <c r="E278" s="3" t="s">
        <v>151</v>
      </c>
      <c r="F278" s="4">
        <v>17.288599999999999</v>
      </c>
      <c r="G278" s="31"/>
      <c r="H278" s="8">
        <f t="shared" si="87"/>
        <v>1</v>
      </c>
      <c r="I278" s="9">
        <f t="shared" si="95"/>
        <v>17.288599999999999</v>
      </c>
      <c r="J278" s="34"/>
      <c r="K278" s="6">
        <f t="shared" si="89"/>
        <v>0</v>
      </c>
      <c r="L278" s="33">
        <f t="shared" si="96"/>
        <v>0</v>
      </c>
      <c r="M278" s="33">
        <f t="shared" si="97"/>
        <v>0</v>
      </c>
    </row>
    <row r="279" spans="1:13" ht="18.75" x14ac:dyDescent="0.3">
      <c r="A279" s="37" t="s">
        <v>234</v>
      </c>
      <c r="B279" s="22"/>
      <c r="C279" s="13" t="s">
        <v>50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23"/>
    </row>
    <row r="280" spans="1:13" ht="38.25" customHeight="1" x14ac:dyDescent="0.25">
      <c r="A280" s="37" t="s">
        <v>232</v>
      </c>
      <c r="B280" s="27" t="s">
        <v>35</v>
      </c>
      <c r="C280" s="28" t="s">
        <v>0</v>
      </c>
      <c r="D280" s="28" t="s">
        <v>1</v>
      </c>
      <c r="E280" s="28" t="s">
        <v>2</v>
      </c>
      <c r="F280" s="29" t="s">
        <v>40</v>
      </c>
      <c r="G280" s="16" t="s">
        <v>41</v>
      </c>
      <c r="H280" s="16" t="s">
        <v>36</v>
      </c>
      <c r="I280" s="18" t="s">
        <v>41</v>
      </c>
      <c r="J280" s="18" t="s">
        <v>36</v>
      </c>
      <c r="K280" s="14" t="s">
        <v>43</v>
      </c>
      <c r="L280" s="16" t="s">
        <v>42</v>
      </c>
      <c r="M280" s="18" t="s">
        <v>42</v>
      </c>
    </row>
    <row r="281" spans="1:13" ht="15.75" customHeight="1" x14ac:dyDescent="0.25">
      <c r="A281" s="37" t="s">
        <v>235</v>
      </c>
      <c r="B281" s="30"/>
      <c r="C281" s="2" t="s">
        <v>158</v>
      </c>
      <c r="D281" s="3" t="s">
        <v>7</v>
      </c>
      <c r="E281" s="3" t="s">
        <v>29</v>
      </c>
      <c r="F281" s="4">
        <v>216.15520000000001</v>
      </c>
      <c r="G281" s="31"/>
      <c r="H281" s="8">
        <f t="shared" ref="H281:H286" si="98">-(G281/F281)+1</f>
        <v>1</v>
      </c>
      <c r="I281" s="9">
        <f t="shared" ref="I281:I286" si="99">F281*(1-J281)</f>
        <v>216.15520000000001</v>
      </c>
      <c r="J281" s="34"/>
      <c r="K281" s="6">
        <f t="shared" ref="K281:K286" si="100">B281*F281</f>
        <v>0</v>
      </c>
      <c r="L281" s="33">
        <f t="shared" ref="L281:L286" si="101">B281*G281</f>
        <v>0</v>
      </c>
      <c r="M281" s="33">
        <f t="shared" ref="M281:M286" si="102">B281*I281</f>
        <v>0</v>
      </c>
    </row>
    <row r="282" spans="1:13" ht="15.75" customHeight="1" x14ac:dyDescent="0.25">
      <c r="A282" s="37" t="s">
        <v>235</v>
      </c>
      <c r="B282" s="30"/>
      <c r="C282" s="2" t="s">
        <v>158</v>
      </c>
      <c r="D282" s="3" t="s">
        <v>5</v>
      </c>
      <c r="E282" s="3" t="s">
        <v>27</v>
      </c>
      <c r="F282" s="4">
        <v>54.038800000000002</v>
      </c>
      <c r="G282" s="31"/>
      <c r="H282" s="8">
        <f t="shared" si="98"/>
        <v>1</v>
      </c>
      <c r="I282" s="9">
        <f t="shared" si="99"/>
        <v>54.038800000000002</v>
      </c>
      <c r="J282" s="34"/>
      <c r="K282" s="6">
        <f t="shared" si="100"/>
        <v>0</v>
      </c>
      <c r="L282" s="33">
        <f t="shared" si="101"/>
        <v>0</v>
      </c>
      <c r="M282" s="33">
        <f t="shared" si="102"/>
        <v>0</v>
      </c>
    </row>
    <row r="283" spans="1:13" ht="15.75" customHeight="1" x14ac:dyDescent="0.25">
      <c r="A283" s="37" t="s">
        <v>235</v>
      </c>
      <c r="B283" s="30"/>
      <c r="C283" s="2" t="s">
        <v>159</v>
      </c>
      <c r="D283" s="3" t="s">
        <v>7</v>
      </c>
      <c r="E283" s="3" t="s">
        <v>29</v>
      </c>
      <c r="F283" s="4">
        <v>187.3338</v>
      </c>
      <c r="G283" s="31"/>
      <c r="H283" s="8">
        <f t="shared" si="98"/>
        <v>1</v>
      </c>
      <c r="I283" s="9">
        <f t="shared" si="99"/>
        <v>187.3338</v>
      </c>
      <c r="J283" s="34"/>
      <c r="K283" s="6">
        <f t="shared" si="100"/>
        <v>0</v>
      </c>
      <c r="L283" s="33">
        <f t="shared" si="101"/>
        <v>0</v>
      </c>
      <c r="M283" s="33">
        <f t="shared" si="102"/>
        <v>0</v>
      </c>
    </row>
    <row r="284" spans="1:13" ht="15.75" customHeight="1" x14ac:dyDescent="0.25">
      <c r="A284" s="37" t="s">
        <v>235</v>
      </c>
      <c r="B284" s="30"/>
      <c r="C284" s="2" t="s">
        <v>159</v>
      </c>
      <c r="D284" s="3" t="s">
        <v>5</v>
      </c>
      <c r="E284" s="3" t="s">
        <v>27</v>
      </c>
      <c r="F284" s="4">
        <v>46.830800000000004</v>
      </c>
      <c r="G284" s="31"/>
      <c r="H284" s="8">
        <f t="shared" si="98"/>
        <v>1</v>
      </c>
      <c r="I284" s="9">
        <f t="shared" si="99"/>
        <v>46.830800000000004</v>
      </c>
      <c r="J284" s="34"/>
      <c r="K284" s="6">
        <f t="shared" si="100"/>
        <v>0</v>
      </c>
      <c r="L284" s="33">
        <f t="shared" si="101"/>
        <v>0</v>
      </c>
      <c r="M284" s="33">
        <f t="shared" si="102"/>
        <v>0</v>
      </c>
    </row>
    <row r="285" spans="1:13" ht="15.75" customHeight="1" x14ac:dyDescent="0.25">
      <c r="A285" s="37" t="s">
        <v>235</v>
      </c>
      <c r="B285" s="30"/>
      <c r="C285" s="2" t="s">
        <v>160</v>
      </c>
      <c r="D285" s="3" t="s">
        <v>7</v>
      </c>
      <c r="E285" s="3" t="s">
        <v>29</v>
      </c>
      <c r="F285" s="4">
        <v>267.3956</v>
      </c>
      <c r="G285" s="31"/>
      <c r="H285" s="8">
        <f t="shared" si="98"/>
        <v>1</v>
      </c>
      <c r="I285" s="9">
        <f t="shared" si="99"/>
        <v>267.3956</v>
      </c>
      <c r="J285" s="34"/>
      <c r="K285" s="6">
        <f t="shared" si="100"/>
        <v>0</v>
      </c>
      <c r="L285" s="33">
        <f t="shared" si="101"/>
        <v>0</v>
      </c>
      <c r="M285" s="33">
        <f t="shared" si="102"/>
        <v>0</v>
      </c>
    </row>
    <row r="286" spans="1:13" ht="15.75" customHeight="1" x14ac:dyDescent="0.25">
      <c r="A286" s="37" t="s">
        <v>235</v>
      </c>
      <c r="B286" s="30"/>
      <c r="C286" s="2" t="s">
        <v>160</v>
      </c>
      <c r="D286" s="3" t="s">
        <v>5</v>
      </c>
      <c r="E286" s="3" t="s">
        <v>27</v>
      </c>
      <c r="F286" s="4">
        <v>66.854200000000006</v>
      </c>
      <c r="G286" s="31"/>
      <c r="H286" s="8">
        <f t="shared" si="98"/>
        <v>1</v>
      </c>
      <c r="I286" s="9">
        <f t="shared" si="99"/>
        <v>66.854200000000006</v>
      </c>
      <c r="J286" s="34"/>
      <c r="K286" s="6">
        <f t="shared" si="100"/>
        <v>0</v>
      </c>
      <c r="L286" s="33">
        <f t="shared" si="101"/>
        <v>0</v>
      </c>
      <c r="M286" s="33">
        <f t="shared" si="102"/>
        <v>0</v>
      </c>
    </row>
    <row r="287" spans="1:13" ht="18.75" x14ac:dyDescent="0.3">
      <c r="A287" s="37" t="s">
        <v>234</v>
      </c>
      <c r="B287" s="22"/>
      <c r="C287" s="13" t="s">
        <v>61</v>
      </c>
      <c r="D287" s="13"/>
      <c r="E287" s="13"/>
      <c r="F287" s="13"/>
      <c r="G287" s="13"/>
      <c r="H287" s="13"/>
      <c r="I287" s="13"/>
      <c r="J287" s="13"/>
      <c r="K287" s="13"/>
      <c r="L287" s="13"/>
      <c r="M287" s="23"/>
    </row>
    <row r="288" spans="1:13" ht="38.25" customHeight="1" x14ac:dyDescent="0.25">
      <c r="A288" s="37" t="s">
        <v>232</v>
      </c>
      <c r="B288" s="27" t="s">
        <v>35</v>
      </c>
      <c r="C288" s="28" t="s">
        <v>0</v>
      </c>
      <c r="D288" s="28" t="s">
        <v>1</v>
      </c>
      <c r="E288" s="28" t="s">
        <v>2</v>
      </c>
      <c r="F288" s="29" t="s">
        <v>40</v>
      </c>
      <c r="G288" s="16" t="s">
        <v>41</v>
      </c>
      <c r="H288" s="16" t="s">
        <v>36</v>
      </c>
      <c r="I288" s="18" t="s">
        <v>41</v>
      </c>
      <c r="J288" s="18" t="s">
        <v>36</v>
      </c>
      <c r="K288" s="14" t="s">
        <v>43</v>
      </c>
      <c r="L288" s="16" t="s">
        <v>42</v>
      </c>
      <c r="M288" s="18" t="s">
        <v>42</v>
      </c>
    </row>
    <row r="289" spans="1:13" ht="15.75" customHeight="1" x14ac:dyDescent="0.25">
      <c r="A289" s="37" t="s">
        <v>235</v>
      </c>
      <c r="B289" s="30"/>
      <c r="C289" s="2" t="s">
        <v>161</v>
      </c>
      <c r="D289" s="3" t="s">
        <v>3</v>
      </c>
      <c r="E289" s="3" t="s">
        <v>8</v>
      </c>
      <c r="F289" s="4">
        <v>126.4898</v>
      </c>
      <c r="G289" s="31"/>
      <c r="H289" s="8">
        <f t="shared" ref="H289:H296" si="103">-(G289/F289)+1</f>
        <v>1</v>
      </c>
      <c r="I289" s="9">
        <f t="shared" ref="I289:I296" si="104">F289*(1-J289)</f>
        <v>126.4898</v>
      </c>
      <c r="J289" s="34"/>
      <c r="K289" s="6">
        <f t="shared" ref="K289:K296" si="105">B289*F289</f>
        <v>0</v>
      </c>
      <c r="L289" s="33">
        <f t="shared" ref="L289:L296" si="106">B289*G289</f>
        <v>0</v>
      </c>
      <c r="M289" s="33">
        <f t="shared" ref="M289:M296" si="107">B289*I289</f>
        <v>0</v>
      </c>
    </row>
    <row r="290" spans="1:13" ht="15.75" customHeight="1" x14ac:dyDescent="0.25">
      <c r="A290" s="37" t="s">
        <v>235</v>
      </c>
      <c r="B290" s="30"/>
      <c r="C290" s="2" t="s">
        <v>162</v>
      </c>
      <c r="D290" s="3" t="s">
        <v>3</v>
      </c>
      <c r="E290" s="3" t="s">
        <v>8</v>
      </c>
      <c r="F290" s="4">
        <v>139.13560000000001</v>
      </c>
      <c r="G290" s="31"/>
      <c r="H290" s="8">
        <f t="shared" si="103"/>
        <v>1</v>
      </c>
      <c r="I290" s="9">
        <f t="shared" si="104"/>
        <v>139.13560000000001</v>
      </c>
      <c r="J290" s="34"/>
      <c r="K290" s="6">
        <f t="shared" si="105"/>
        <v>0</v>
      </c>
      <c r="L290" s="33">
        <f t="shared" si="106"/>
        <v>0</v>
      </c>
      <c r="M290" s="33">
        <f t="shared" si="107"/>
        <v>0</v>
      </c>
    </row>
    <row r="291" spans="1:13" ht="15.75" customHeight="1" x14ac:dyDescent="0.25">
      <c r="A291" s="37" t="s">
        <v>235</v>
      </c>
      <c r="B291" s="30"/>
      <c r="C291" s="2" t="s">
        <v>163</v>
      </c>
      <c r="D291" s="3" t="s">
        <v>3</v>
      </c>
      <c r="E291" s="3" t="s">
        <v>8</v>
      </c>
      <c r="F291" s="4">
        <v>130.16800000000001</v>
      </c>
      <c r="G291" s="31"/>
      <c r="H291" s="8">
        <f t="shared" si="103"/>
        <v>1</v>
      </c>
      <c r="I291" s="9">
        <f t="shared" si="104"/>
        <v>130.16800000000001</v>
      </c>
      <c r="J291" s="34"/>
      <c r="K291" s="6">
        <f t="shared" si="105"/>
        <v>0</v>
      </c>
      <c r="L291" s="33">
        <f t="shared" si="106"/>
        <v>0</v>
      </c>
      <c r="M291" s="33">
        <f t="shared" si="107"/>
        <v>0</v>
      </c>
    </row>
    <row r="292" spans="1:13" ht="15.75" customHeight="1" x14ac:dyDescent="0.25">
      <c r="A292" s="37" t="s">
        <v>235</v>
      </c>
      <c r="B292" s="30"/>
      <c r="C292" s="2" t="s">
        <v>164</v>
      </c>
      <c r="D292" s="3" t="s">
        <v>3</v>
      </c>
      <c r="E292" s="3" t="s">
        <v>8</v>
      </c>
      <c r="F292" s="4">
        <v>127.85720000000001</v>
      </c>
      <c r="G292" s="31"/>
      <c r="H292" s="8">
        <f t="shared" si="103"/>
        <v>1</v>
      </c>
      <c r="I292" s="9">
        <f t="shared" si="104"/>
        <v>127.85720000000001</v>
      </c>
      <c r="J292" s="34"/>
      <c r="K292" s="6">
        <f t="shared" si="105"/>
        <v>0</v>
      </c>
      <c r="L292" s="33">
        <f t="shared" si="106"/>
        <v>0</v>
      </c>
      <c r="M292" s="33">
        <f t="shared" si="107"/>
        <v>0</v>
      </c>
    </row>
    <row r="293" spans="1:13" ht="15.75" customHeight="1" x14ac:dyDescent="0.25">
      <c r="A293" s="37" t="s">
        <v>235</v>
      </c>
      <c r="B293" s="30"/>
      <c r="C293" s="2" t="s">
        <v>165</v>
      </c>
      <c r="D293" s="3" t="s">
        <v>3</v>
      </c>
      <c r="E293" s="3" t="s">
        <v>8</v>
      </c>
      <c r="F293" s="4">
        <v>140.64080000000001</v>
      </c>
      <c r="G293" s="31"/>
      <c r="H293" s="8">
        <f t="shared" si="103"/>
        <v>1</v>
      </c>
      <c r="I293" s="9">
        <f t="shared" si="104"/>
        <v>140.64080000000001</v>
      </c>
      <c r="J293" s="34"/>
      <c r="K293" s="6">
        <f t="shared" si="105"/>
        <v>0</v>
      </c>
      <c r="L293" s="33">
        <f t="shared" si="106"/>
        <v>0</v>
      </c>
      <c r="M293" s="33">
        <f t="shared" si="107"/>
        <v>0</v>
      </c>
    </row>
    <row r="294" spans="1:13" ht="15.75" customHeight="1" x14ac:dyDescent="0.25">
      <c r="A294" s="37" t="s">
        <v>235</v>
      </c>
      <c r="B294" s="30"/>
      <c r="C294" s="2" t="s">
        <v>166</v>
      </c>
      <c r="D294" s="3" t="s">
        <v>3</v>
      </c>
      <c r="E294" s="3" t="s">
        <v>8</v>
      </c>
      <c r="F294" s="4">
        <v>127.85720000000001</v>
      </c>
      <c r="G294" s="31"/>
      <c r="H294" s="8">
        <f t="shared" si="103"/>
        <v>1</v>
      </c>
      <c r="I294" s="9">
        <f t="shared" si="104"/>
        <v>127.85720000000001</v>
      </c>
      <c r="J294" s="34"/>
      <c r="K294" s="6">
        <f t="shared" si="105"/>
        <v>0</v>
      </c>
      <c r="L294" s="33">
        <f t="shared" si="106"/>
        <v>0</v>
      </c>
      <c r="M294" s="33">
        <f t="shared" si="107"/>
        <v>0</v>
      </c>
    </row>
    <row r="295" spans="1:13" ht="15.75" customHeight="1" x14ac:dyDescent="0.25">
      <c r="A295" s="37" t="s">
        <v>235</v>
      </c>
      <c r="B295" s="30"/>
      <c r="C295" s="2" t="s">
        <v>69</v>
      </c>
      <c r="D295" s="3" t="s">
        <v>5</v>
      </c>
      <c r="E295" s="3" t="s">
        <v>10</v>
      </c>
      <c r="F295" s="4">
        <v>68.900000000000006</v>
      </c>
      <c r="G295" s="31"/>
      <c r="H295" s="8">
        <f t="shared" si="103"/>
        <v>1</v>
      </c>
      <c r="I295" s="9">
        <f t="shared" si="104"/>
        <v>68.900000000000006</v>
      </c>
      <c r="J295" s="34"/>
      <c r="K295" s="6">
        <f t="shared" si="105"/>
        <v>0</v>
      </c>
      <c r="L295" s="33">
        <f t="shared" si="106"/>
        <v>0</v>
      </c>
      <c r="M295" s="33">
        <f t="shared" si="107"/>
        <v>0</v>
      </c>
    </row>
    <row r="296" spans="1:13" ht="15.75" customHeight="1" x14ac:dyDescent="0.25">
      <c r="A296" s="37" t="s">
        <v>235</v>
      </c>
      <c r="B296" s="30"/>
      <c r="C296" s="2" t="s">
        <v>70</v>
      </c>
      <c r="D296" s="3" t="s">
        <v>5</v>
      </c>
      <c r="E296" s="3" t="s">
        <v>37</v>
      </c>
      <c r="F296" s="4">
        <v>72.08</v>
      </c>
      <c r="G296" s="31"/>
      <c r="H296" s="8">
        <f t="shared" si="103"/>
        <v>1</v>
      </c>
      <c r="I296" s="9">
        <f t="shared" si="104"/>
        <v>72.08</v>
      </c>
      <c r="J296" s="34"/>
      <c r="K296" s="6">
        <f t="shared" si="105"/>
        <v>0</v>
      </c>
      <c r="L296" s="33">
        <f t="shared" si="106"/>
        <v>0</v>
      </c>
      <c r="M296" s="33">
        <f t="shared" si="107"/>
        <v>0</v>
      </c>
    </row>
    <row r="297" spans="1:13" ht="18.75" x14ac:dyDescent="0.3">
      <c r="A297" s="37" t="s">
        <v>234</v>
      </c>
      <c r="B297" s="22"/>
      <c r="C297" s="13" t="s">
        <v>167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23"/>
    </row>
    <row r="298" spans="1:13" ht="38.25" customHeight="1" x14ac:dyDescent="0.25">
      <c r="A298" s="37" t="s">
        <v>232</v>
      </c>
      <c r="B298" s="27" t="s">
        <v>35</v>
      </c>
      <c r="C298" s="28" t="s">
        <v>0</v>
      </c>
      <c r="D298" s="28" t="s">
        <v>1</v>
      </c>
      <c r="E298" s="28" t="s">
        <v>2</v>
      </c>
      <c r="F298" s="29" t="s">
        <v>40</v>
      </c>
      <c r="G298" s="16" t="s">
        <v>41</v>
      </c>
      <c r="H298" s="16" t="s">
        <v>36</v>
      </c>
      <c r="I298" s="18" t="s">
        <v>41</v>
      </c>
      <c r="J298" s="18" t="s">
        <v>36</v>
      </c>
      <c r="K298" s="14" t="s">
        <v>43</v>
      </c>
      <c r="L298" s="16" t="s">
        <v>42</v>
      </c>
      <c r="M298" s="18" t="s">
        <v>42</v>
      </c>
    </row>
    <row r="299" spans="1:13" ht="15.75" customHeight="1" x14ac:dyDescent="0.25">
      <c r="A299" s="37" t="s">
        <v>235</v>
      </c>
      <c r="B299" s="30"/>
      <c r="C299" s="2" t="s">
        <v>168</v>
      </c>
      <c r="D299" s="3" t="s">
        <v>5</v>
      </c>
      <c r="E299" s="3" t="s">
        <v>27</v>
      </c>
      <c r="F299" s="4">
        <v>89.453400000000002</v>
      </c>
      <c r="G299" s="31"/>
      <c r="H299" s="8">
        <f t="shared" ref="H299:H313" si="108">-(G299/F299)+1</f>
        <v>1</v>
      </c>
      <c r="I299" s="9">
        <f t="shared" ref="I299:I313" si="109">F299*(1-J299)</f>
        <v>89.453400000000002</v>
      </c>
      <c r="J299" s="34"/>
      <c r="K299" s="6">
        <f t="shared" ref="K299:K313" si="110">B299*F299</f>
        <v>0</v>
      </c>
      <c r="L299" s="33">
        <f t="shared" ref="L299:L313" si="111">B299*G299</f>
        <v>0</v>
      </c>
      <c r="M299" s="33">
        <f t="shared" ref="M299:M313" si="112">B299*I299</f>
        <v>0</v>
      </c>
    </row>
    <row r="300" spans="1:13" ht="15.75" customHeight="1" x14ac:dyDescent="0.25">
      <c r="A300" s="37" t="s">
        <v>235</v>
      </c>
      <c r="B300" s="30"/>
      <c r="C300" s="2" t="s">
        <v>168</v>
      </c>
      <c r="D300" s="3" t="s">
        <v>18</v>
      </c>
      <c r="E300" s="3" t="s">
        <v>151</v>
      </c>
      <c r="F300" s="4">
        <v>25.567200000000003</v>
      </c>
      <c r="G300" s="31"/>
      <c r="H300" s="8">
        <f t="shared" si="108"/>
        <v>1</v>
      </c>
      <c r="I300" s="9">
        <f t="shared" si="109"/>
        <v>25.567200000000003</v>
      </c>
      <c r="J300" s="34"/>
      <c r="K300" s="6">
        <f t="shared" si="110"/>
        <v>0</v>
      </c>
      <c r="L300" s="33">
        <f t="shared" si="111"/>
        <v>0</v>
      </c>
      <c r="M300" s="33">
        <f t="shared" si="112"/>
        <v>0</v>
      </c>
    </row>
    <row r="301" spans="1:13" ht="15.75" customHeight="1" x14ac:dyDescent="0.25">
      <c r="A301" s="37" t="s">
        <v>235</v>
      </c>
      <c r="B301" s="30"/>
      <c r="C301" s="2" t="s">
        <v>169</v>
      </c>
      <c r="D301" s="3" t="s">
        <v>5</v>
      </c>
      <c r="E301" s="3" t="s">
        <v>27</v>
      </c>
      <c r="F301" s="4">
        <v>80.507000000000005</v>
      </c>
      <c r="G301" s="31"/>
      <c r="H301" s="8">
        <f t="shared" si="108"/>
        <v>1</v>
      </c>
      <c r="I301" s="9">
        <f t="shared" si="109"/>
        <v>80.507000000000005</v>
      </c>
      <c r="J301" s="34"/>
      <c r="K301" s="6">
        <f t="shared" si="110"/>
        <v>0</v>
      </c>
      <c r="L301" s="33">
        <f t="shared" si="111"/>
        <v>0</v>
      </c>
      <c r="M301" s="33">
        <f t="shared" si="112"/>
        <v>0</v>
      </c>
    </row>
    <row r="302" spans="1:13" ht="15.75" customHeight="1" x14ac:dyDescent="0.25">
      <c r="A302" s="37" t="s">
        <v>235</v>
      </c>
      <c r="B302" s="30"/>
      <c r="C302" s="2" t="s">
        <v>169</v>
      </c>
      <c r="D302" s="3" t="s">
        <v>18</v>
      </c>
      <c r="E302" s="3" t="s">
        <v>151</v>
      </c>
      <c r="F302" s="4">
        <v>23.001999999999999</v>
      </c>
      <c r="G302" s="31"/>
      <c r="H302" s="8">
        <f t="shared" si="108"/>
        <v>1</v>
      </c>
      <c r="I302" s="9">
        <f t="shared" si="109"/>
        <v>23.001999999999999</v>
      </c>
      <c r="J302" s="34"/>
      <c r="K302" s="6">
        <f t="shared" si="110"/>
        <v>0</v>
      </c>
      <c r="L302" s="33">
        <f t="shared" si="111"/>
        <v>0</v>
      </c>
      <c r="M302" s="33">
        <f t="shared" si="112"/>
        <v>0</v>
      </c>
    </row>
    <row r="303" spans="1:13" ht="15.75" customHeight="1" x14ac:dyDescent="0.25">
      <c r="A303" s="37" t="s">
        <v>235</v>
      </c>
      <c r="B303" s="30"/>
      <c r="C303" s="2" t="s">
        <v>170</v>
      </c>
      <c r="D303" s="3" t="s">
        <v>5</v>
      </c>
      <c r="E303" s="3" t="s">
        <v>27</v>
      </c>
      <c r="F303" s="4">
        <v>72.450999999999993</v>
      </c>
      <c r="G303" s="31"/>
      <c r="H303" s="8">
        <f t="shared" si="108"/>
        <v>1</v>
      </c>
      <c r="I303" s="9">
        <f t="shared" si="109"/>
        <v>72.450999999999993</v>
      </c>
      <c r="J303" s="34"/>
      <c r="K303" s="6">
        <f t="shared" si="110"/>
        <v>0</v>
      </c>
      <c r="L303" s="33">
        <f t="shared" si="111"/>
        <v>0</v>
      </c>
      <c r="M303" s="33">
        <f t="shared" si="112"/>
        <v>0</v>
      </c>
    </row>
    <row r="304" spans="1:13" ht="15.75" customHeight="1" x14ac:dyDescent="0.25">
      <c r="A304" s="37" t="s">
        <v>235</v>
      </c>
      <c r="B304" s="30"/>
      <c r="C304" s="2" t="s">
        <v>170</v>
      </c>
      <c r="D304" s="3" t="s">
        <v>18</v>
      </c>
      <c r="E304" s="3" t="s">
        <v>151</v>
      </c>
      <c r="F304" s="4">
        <v>20.701800000000002</v>
      </c>
      <c r="G304" s="31"/>
      <c r="H304" s="8">
        <f t="shared" si="108"/>
        <v>1</v>
      </c>
      <c r="I304" s="9">
        <f t="shared" si="109"/>
        <v>20.701800000000002</v>
      </c>
      <c r="J304" s="34"/>
      <c r="K304" s="6">
        <f t="shared" si="110"/>
        <v>0</v>
      </c>
      <c r="L304" s="33">
        <f t="shared" si="111"/>
        <v>0</v>
      </c>
      <c r="M304" s="33">
        <f t="shared" si="112"/>
        <v>0</v>
      </c>
    </row>
    <row r="305" spans="1:13" ht="15.75" customHeight="1" x14ac:dyDescent="0.25">
      <c r="A305" s="37" t="s">
        <v>235</v>
      </c>
      <c r="B305" s="30"/>
      <c r="C305" s="2" t="s">
        <v>171</v>
      </c>
      <c r="D305" s="3" t="s">
        <v>3</v>
      </c>
      <c r="E305" s="3" t="s">
        <v>29</v>
      </c>
      <c r="F305" s="4">
        <v>491.85187200000001</v>
      </c>
      <c r="G305" s="31"/>
      <c r="H305" s="8">
        <f t="shared" si="108"/>
        <v>1</v>
      </c>
      <c r="I305" s="9">
        <f t="shared" si="109"/>
        <v>491.85187200000001</v>
      </c>
      <c r="J305" s="34"/>
      <c r="K305" s="6">
        <f t="shared" si="110"/>
        <v>0</v>
      </c>
      <c r="L305" s="33">
        <f t="shared" si="111"/>
        <v>0</v>
      </c>
      <c r="M305" s="33">
        <f t="shared" si="112"/>
        <v>0</v>
      </c>
    </row>
    <row r="306" spans="1:13" ht="15.75" customHeight="1" x14ac:dyDescent="0.25">
      <c r="A306" s="37" t="s">
        <v>235</v>
      </c>
      <c r="B306" s="30"/>
      <c r="C306" s="2" t="s">
        <v>171</v>
      </c>
      <c r="D306" s="3" t="s">
        <v>5</v>
      </c>
      <c r="E306" s="3" t="s">
        <v>27</v>
      </c>
      <c r="F306" s="4">
        <v>122.962968</v>
      </c>
      <c r="G306" s="31"/>
      <c r="H306" s="8">
        <f t="shared" si="108"/>
        <v>1</v>
      </c>
      <c r="I306" s="9">
        <f t="shared" si="109"/>
        <v>122.962968</v>
      </c>
      <c r="J306" s="34"/>
      <c r="K306" s="6">
        <f t="shared" si="110"/>
        <v>0</v>
      </c>
      <c r="L306" s="33">
        <f t="shared" si="111"/>
        <v>0</v>
      </c>
      <c r="M306" s="33">
        <f t="shared" si="112"/>
        <v>0</v>
      </c>
    </row>
    <row r="307" spans="1:13" ht="15.75" customHeight="1" x14ac:dyDescent="0.25">
      <c r="A307" s="37" t="s">
        <v>235</v>
      </c>
      <c r="B307" s="30"/>
      <c r="C307" s="2" t="s">
        <v>171</v>
      </c>
      <c r="D307" s="3" t="s">
        <v>18</v>
      </c>
      <c r="E307" s="3" t="s">
        <v>151</v>
      </c>
      <c r="F307" s="4">
        <v>35.132276571428569</v>
      </c>
      <c r="G307" s="31"/>
      <c r="H307" s="8">
        <f t="shared" si="108"/>
        <v>1</v>
      </c>
      <c r="I307" s="9">
        <f t="shared" si="109"/>
        <v>35.132276571428569</v>
      </c>
      <c r="J307" s="34"/>
      <c r="K307" s="6">
        <f t="shared" si="110"/>
        <v>0</v>
      </c>
      <c r="L307" s="33">
        <f t="shared" si="111"/>
        <v>0</v>
      </c>
      <c r="M307" s="33">
        <f t="shared" si="112"/>
        <v>0</v>
      </c>
    </row>
    <row r="308" spans="1:13" ht="15.75" customHeight="1" x14ac:dyDescent="0.25">
      <c r="A308" s="37" t="s">
        <v>235</v>
      </c>
      <c r="B308" s="30"/>
      <c r="C308" s="2" t="s">
        <v>173</v>
      </c>
      <c r="D308" s="3" t="s">
        <v>3</v>
      </c>
      <c r="E308" s="3" t="s">
        <v>29</v>
      </c>
      <c r="F308" s="4">
        <v>452.51</v>
      </c>
      <c r="G308" s="31"/>
      <c r="H308" s="8">
        <f t="shared" si="108"/>
        <v>1</v>
      </c>
      <c r="I308" s="9">
        <f t="shared" si="109"/>
        <v>452.51</v>
      </c>
      <c r="J308" s="34"/>
      <c r="K308" s="6">
        <f t="shared" si="110"/>
        <v>0</v>
      </c>
      <c r="L308" s="33">
        <f t="shared" si="111"/>
        <v>0</v>
      </c>
      <c r="M308" s="33">
        <f t="shared" si="112"/>
        <v>0</v>
      </c>
    </row>
    <row r="309" spans="1:13" ht="15.75" customHeight="1" x14ac:dyDescent="0.25">
      <c r="A309" s="37" t="s">
        <v>235</v>
      </c>
      <c r="B309" s="30"/>
      <c r="C309" s="2" t="s">
        <v>173</v>
      </c>
      <c r="D309" s="3" t="s">
        <v>5</v>
      </c>
      <c r="E309" s="3" t="s">
        <v>27</v>
      </c>
      <c r="F309" s="4">
        <v>113.12593056</v>
      </c>
      <c r="G309" s="31"/>
      <c r="H309" s="8">
        <f t="shared" si="108"/>
        <v>1</v>
      </c>
      <c r="I309" s="9">
        <f t="shared" si="109"/>
        <v>113.12593056</v>
      </c>
      <c r="J309" s="34"/>
      <c r="K309" s="6">
        <f t="shared" si="110"/>
        <v>0</v>
      </c>
      <c r="L309" s="33">
        <f t="shared" si="111"/>
        <v>0</v>
      </c>
      <c r="M309" s="33">
        <f t="shared" si="112"/>
        <v>0</v>
      </c>
    </row>
    <row r="310" spans="1:13" ht="15.75" customHeight="1" x14ac:dyDescent="0.25">
      <c r="A310" s="37" t="s">
        <v>235</v>
      </c>
      <c r="B310" s="30"/>
      <c r="C310" s="2" t="s">
        <v>173</v>
      </c>
      <c r="D310" s="3" t="s">
        <v>18</v>
      </c>
      <c r="E310" s="3" t="s">
        <v>151</v>
      </c>
      <c r="F310" s="4">
        <v>32.31</v>
      </c>
      <c r="G310" s="31"/>
      <c r="H310" s="8">
        <f t="shared" si="108"/>
        <v>1</v>
      </c>
      <c r="I310" s="9">
        <f t="shared" si="109"/>
        <v>32.31</v>
      </c>
      <c r="J310" s="34"/>
      <c r="K310" s="6">
        <f t="shared" si="110"/>
        <v>0</v>
      </c>
      <c r="L310" s="33">
        <f t="shared" si="111"/>
        <v>0</v>
      </c>
      <c r="M310" s="33">
        <f t="shared" si="112"/>
        <v>0</v>
      </c>
    </row>
    <row r="311" spans="1:13" ht="15.75" customHeight="1" x14ac:dyDescent="0.25">
      <c r="A311" s="37" t="s">
        <v>235</v>
      </c>
      <c r="B311" s="30"/>
      <c r="C311" s="2" t="s">
        <v>172</v>
      </c>
      <c r="D311" s="3" t="s">
        <v>3</v>
      </c>
      <c r="E311" s="3" t="s">
        <v>29</v>
      </c>
      <c r="F311" s="4">
        <v>429.87853612800001</v>
      </c>
      <c r="G311" s="31"/>
      <c r="H311" s="8">
        <f t="shared" si="108"/>
        <v>1</v>
      </c>
      <c r="I311" s="9">
        <f t="shared" si="109"/>
        <v>429.87853612800001</v>
      </c>
      <c r="J311" s="34"/>
      <c r="K311" s="6">
        <f t="shared" si="110"/>
        <v>0</v>
      </c>
      <c r="L311" s="33">
        <f t="shared" si="111"/>
        <v>0</v>
      </c>
      <c r="M311" s="33">
        <f t="shared" si="112"/>
        <v>0</v>
      </c>
    </row>
    <row r="312" spans="1:13" ht="15.75" customHeight="1" x14ac:dyDescent="0.25">
      <c r="A312" s="37" t="s">
        <v>235</v>
      </c>
      <c r="B312" s="30"/>
      <c r="C312" s="2" t="s">
        <v>172</v>
      </c>
      <c r="D312" s="3" t="s">
        <v>5</v>
      </c>
      <c r="E312" s="3" t="s">
        <v>27</v>
      </c>
      <c r="F312" s="4">
        <v>107.469634032</v>
      </c>
      <c r="G312" s="31"/>
      <c r="H312" s="8">
        <f t="shared" si="108"/>
        <v>1</v>
      </c>
      <c r="I312" s="9">
        <f t="shared" si="109"/>
        <v>107.469634032</v>
      </c>
      <c r="J312" s="34"/>
      <c r="K312" s="6">
        <f t="shared" si="110"/>
        <v>0</v>
      </c>
      <c r="L312" s="33">
        <f t="shared" si="111"/>
        <v>0</v>
      </c>
      <c r="M312" s="33">
        <f t="shared" si="112"/>
        <v>0</v>
      </c>
    </row>
    <row r="313" spans="1:13" ht="15.75" customHeight="1" x14ac:dyDescent="0.25">
      <c r="A313" s="37" t="s">
        <v>235</v>
      </c>
      <c r="B313" s="30"/>
      <c r="C313" s="2" t="s">
        <v>172</v>
      </c>
      <c r="D313" s="3" t="s">
        <v>18</v>
      </c>
      <c r="E313" s="3" t="s">
        <v>151</v>
      </c>
      <c r="F313" s="4">
        <v>30.7</v>
      </c>
      <c r="G313" s="31"/>
      <c r="H313" s="8">
        <f t="shared" si="108"/>
        <v>1</v>
      </c>
      <c r="I313" s="9">
        <f t="shared" si="109"/>
        <v>30.7</v>
      </c>
      <c r="J313" s="34"/>
      <c r="K313" s="6">
        <f t="shared" si="110"/>
        <v>0</v>
      </c>
      <c r="L313" s="33">
        <f t="shared" si="111"/>
        <v>0</v>
      </c>
      <c r="M313" s="33">
        <f t="shared" si="112"/>
        <v>0</v>
      </c>
    </row>
    <row r="314" spans="1:13" ht="18.75" x14ac:dyDescent="0.3">
      <c r="A314" s="37" t="s">
        <v>234</v>
      </c>
      <c r="B314" s="22"/>
      <c r="C314" s="13" t="s">
        <v>30</v>
      </c>
      <c r="D314" s="13"/>
      <c r="E314" s="13"/>
      <c r="F314" s="13"/>
      <c r="G314" s="13"/>
      <c r="H314" s="13"/>
      <c r="I314" s="13"/>
      <c r="J314" s="13"/>
      <c r="K314" s="13"/>
      <c r="L314" s="13"/>
      <c r="M314" s="23"/>
    </row>
    <row r="315" spans="1:13" ht="38.25" customHeight="1" x14ac:dyDescent="0.25">
      <c r="A315" s="37" t="s">
        <v>232</v>
      </c>
      <c r="B315" s="27" t="s">
        <v>35</v>
      </c>
      <c r="C315" s="28" t="s">
        <v>0</v>
      </c>
      <c r="D315" s="28" t="s">
        <v>1</v>
      </c>
      <c r="E315" s="28" t="s">
        <v>2</v>
      </c>
      <c r="F315" s="29" t="s">
        <v>40</v>
      </c>
      <c r="G315" s="16" t="s">
        <v>41</v>
      </c>
      <c r="H315" s="16" t="s">
        <v>36</v>
      </c>
      <c r="I315" s="18" t="s">
        <v>41</v>
      </c>
      <c r="J315" s="18" t="s">
        <v>36</v>
      </c>
      <c r="K315" s="14" t="s">
        <v>43</v>
      </c>
      <c r="L315" s="16" t="s">
        <v>42</v>
      </c>
      <c r="M315" s="18" t="s">
        <v>42</v>
      </c>
    </row>
    <row r="316" spans="1:13" ht="15.75" customHeight="1" x14ac:dyDescent="0.25">
      <c r="A316" s="37" t="s">
        <v>235</v>
      </c>
      <c r="B316" s="30"/>
      <c r="C316" s="2" t="s">
        <v>179</v>
      </c>
      <c r="D316" s="3" t="s">
        <v>18</v>
      </c>
      <c r="E316" s="3" t="s">
        <v>28</v>
      </c>
      <c r="F316" s="4">
        <v>342.24220000000003</v>
      </c>
      <c r="G316" s="31"/>
      <c r="H316" s="8">
        <f t="shared" ref="H316:H327" si="113">-(G316/F316)+1</f>
        <v>1</v>
      </c>
      <c r="I316" s="9">
        <f t="shared" ref="I316:I327" si="114">F316*(1-J316)</f>
        <v>342.24220000000003</v>
      </c>
      <c r="J316" s="34"/>
      <c r="K316" s="6">
        <f t="shared" ref="K316:K327" si="115">B316*F316</f>
        <v>0</v>
      </c>
      <c r="L316" s="33">
        <f t="shared" ref="L316:L327" si="116">B316*G316</f>
        <v>0</v>
      </c>
      <c r="M316" s="33">
        <f t="shared" ref="M316:M327" si="117">B316*I316</f>
        <v>0</v>
      </c>
    </row>
    <row r="317" spans="1:13" ht="15.75" customHeight="1" x14ac:dyDescent="0.25">
      <c r="A317" s="37" t="s">
        <v>235</v>
      </c>
      <c r="B317" s="30"/>
      <c r="C317" s="2" t="s">
        <v>185</v>
      </c>
      <c r="D317" s="3" t="s">
        <v>18</v>
      </c>
      <c r="E317" s="3" t="s">
        <v>28</v>
      </c>
      <c r="F317" s="4">
        <v>158.16827312000004</v>
      </c>
      <c r="G317" s="31"/>
      <c r="H317" s="8">
        <f t="shared" si="113"/>
        <v>1</v>
      </c>
      <c r="I317" s="9">
        <f t="shared" si="114"/>
        <v>158.16827312000004</v>
      </c>
      <c r="J317" s="34"/>
      <c r="K317" s="6">
        <f t="shared" si="115"/>
        <v>0</v>
      </c>
      <c r="L317" s="33">
        <f t="shared" si="116"/>
        <v>0</v>
      </c>
      <c r="M317" s="33">
        <f t="shared" si="117"/>
        <v>0</v>
      </c>
    </row>
    <row r="318" spans="1:13" ht="15.75" customHeight="1" x14ac:dyDescent="0.25">
      <c r="A318" s="37" t="s">
        <v>235</v>
      </c>
      <c r="B318" s="30"/>
      <c r="C318" s="2" t="s">
        <v>184</v>
      </c>
      <c r="D318" s="3" t="s">
        <v>18</v>
      </c>
      <c r="E318" s="3" t="s">
        <v>28</v>
      </c>
      <c r="F318" s="4">
        <v>265.99825500000003</v>
      </c>
      <c r="G318" s="31"/>
      <c r="H318" s="8">
        <f t="shared" si="113"/>
        <v>1</v>
      </c>
      <c r="I318" s="9">
        <f t="shared" si="114"/>
        <v>265.99825500000003</v>
      </c>
      <c r="J318" s="34"/>
      <c r="K318" s="6">
        <f t="shared" si="115"/>
        <v>0</v>
      </c>
      <c r="L318" s="33">
        <f t="shared" si="116"/>
        <v>0</v>
      </c>
      <c r="M318" s="33">
        <f t="shared" si="117"/>
        <v>0</v>
      </c>
    </row>
    <row r="319" spans="1:13" ht="15.75" customHeight="1" x14ac:dyDescent="0.25">
      <c r="A319" s="37" t="s">
        <v>235</v>
      </c>
      <c r="B319" s="30"/>
      <c r="C319" s="2" t="s">
        <v>175</v>
      </c>
      <c r="D319" s="3" t="s">
        <v>18</v>
      </c>
      <c r="E319" s="3" t="s">
        <v>28</v>
      </c>
      <c r="F319" s="4">
        <v>172.28271160000003</v>
      </c>
      <c r="G319" s="31"/>
      <c r="H319" s="8">
        <f t="shared" si="113"/>
        <v>1</v>
      </c>
      <c r="I319" s="9">
        <f t="shared" si="114"/>
        <v>172.28271160000003</v>
      </c>
      <c r="J319" s="34"/>
      <c r="K319" s="6">
        <f t="shared" si="115"/>
        <v>0</v>
      </c>
      <c r="L319" s="33">
        <f t="shared" si="116"/>
        <v>0</v>
      </c>
      <c r="M319" s="33">
        <f t="shared" si="117"/>
        <v>0</v>
      </c>
    </row>
    <row r="320" spans="1:13" ht="15.75" customHeight="1" x14ac:dyDescent="0.25">
      <c r="A320" s="37" t="s">
        <v>235</v>
      </c>
      <c r="B320" s="30"/>
      <c r="C320" s="2" t="s">
        <v>177</v>
      </c>
      <c r="D320" s="3" t="s">
        <v>18</v>
      </c>
      <c r="E320" s="3" t="s">
        <v>28</v>
      </c>
      <c r="F320" s="4">
        <v>249.14268196</v>
      </c>
      <c r="G320" s="31"/>
      <c r="H320" s="8">
        <f t="shared" si="113"/>
        <v>1</v>
      </c>
      <c r="I320" s="9">
        <f t="shared" si="114"/>
        <v>249.14268196</v>
      </c>
      <c r="J320" s="34"/>
      <c r="K320" s="6">
        <f t="shared" si="115"/>
        <v>0</v>
      </c>
      <c r="L320" s="33">
        <f t="shared" si="116"/>
        <v>0</v>
      </c>
      <c r="M320" s="33">
        <f t="shared" si="117"/>
        <v>0</v>
      </c>
    </row>
    <row r="321" spans="1:13" ht="15.75" customHeight="1" x14ac:dyDescent="0.25">
      <c r="A321" s="37" t="s">
        <v>235</v>
      </c>
      <c r="B321" s="30"/>
      <c r="C321" s="2" t="s">
        <v>183</v>
      </c>
      <c r="D321" s="3" t="s">
        <v>18</v>
      </c>
      <c r="E321" s="3" t="s">
        <v>28</v>
      </c>
      <c r="F321" s="4">
        <v>217.48</v>
      </c>
      <c r="G321" s="31"/>
      <c r="H321" s="8">
        <f t="shared" si="113"/>
        <v>1</v>
      </c>
      <c r="I321" s="9">
        <f t="shared" si="114"/>
        <v>217.48</v>
      </c>
      <c r="J321" s="34"/>
      <c r="K321" s="6">
        <f t="shared" si="115"/>
        <v>0</v>
      </c>
      <c r="L321" s="33">
        <f t="shared" si="116"/>
        <v>0</v>
      </c>
      <c r="M321" s="33">
        <f t="shared" si="117"/>
        <v>0</v>
      </c>
    </row>
    <row r="322" spans="1:13" ht="15.75" customHeight="1" x14ac:dyDescent="0.25">
      <c r="A322" s="37" t="s">
        <v>235</v>
      </c>
      <c r="B322" s="30"/>
      <c r="C322" s="2" t="s">
        <v>181</v>
      </c>
      <c r="D322" s="3" t="s">
        <v>18</v>
      </c>
      <c r="E322" s="3" t="s">
        <v>28</v>
      </c>
      <c r="F322" s="4">
        <v>365.79719352000006</v>
      </c>
      <c r="G322" s="31"/>
      <c r="H322" s="8">
        <f t="shared" si="113"/>
        <v>1</v>
      </c>
      <c r="I322" s="9">
        <f t="shared" si="114"/>
        <v>365.79719352000006</v>
      </c>
      <c r="J322" s="34"/>
      <c r="K322" s="6">
        <f t="shared" si="115"/>
        <v>0</v>
      </c>
      <c r="L322" s="33">
        <f t="shared" si="116"/>
        <v>0</v>
      </c>
      <c r="M322" s="33">
        <f t="shared" si="117"/>
        <v>0</v>
      </c>
    </row>
    <row r="323" spans="1:13" ht="15.75" customHeight="1" x14ac:dyDescent="0.25">
      <c r="A323" s="37" t="s">
        <v>235</v>
      </c>
      <c r="B323" s="30"/>
      <c r="C323" s="2" t="s">
        <v>180</v>
      </c>
      <c r="D323" s="3" t="s">
        <v>18</v>
      </c>
      <c r="E323" s="3" t="s">
        <v>28</v>
      </c>
      <c r="F323" s="4">
        <v>378.64926740000004</v>
      </c>
      <c r="G323" s="31"/>
      <c r="H323" s="8">
        <f t="shared" si="113"/>
        <v>1</v>
      </c>
      <c r="I323" s="9">
        <f t="shared" si="114"/>
        <v>378.64926740000004</v>
      </c>
      <c r="J323" s="34"/>
      <c r="K323" s="6">
        <f t="shared" si="115"/>
        <v>0</v>
      </c>
      <c r="L323" s="33">
        <f t="shared" si="116"/>
        <v>0</v>
      </c>
      <c r="M323" s="33">
        <f t="shared" si="117"/>
        <v>0</v>
      </c>
    </row>
    <row r="324" spans="1:13" ht="15.75" customHeight="1" x14ac:dyDescent="0.25">
      <c r="A324" s="37" t="s">
        <v>235</v>
      </c>
      <c r="B324" s="30"/>
      <c r="C324" s="2" t="s">
        <v>174</v>
      </c>
      <c r="D324" s="3" t="s">
        <v>18</v>
      </c>
      <c r="E324" s="3" t="s">
        <v>28</v>
      </c>
      <c r="F324" s="4">
        <v>121.57172224000001</v>
      </c>
      <c r="G324" s="31"/>
      <c r="H324" s="8">
        <f t="shared" si="113"/>
        <v>1</v>
      </c>
      <c r="I324" s="9">
        <f t="shared" si="114"/>
        <v>121.57172224000001</v>
      </c>
      <c r="J324" s="34"/>
      <c r="K324" s="6">
        <f t="shared" si="115"/>
        <v>0</v>
      </c>
      <c r="L324" s="33">
        <f t="shared" si="116"/>
        <v>0</v>
      </c>
      <c r="M324" s="33">
        <f t="shared" si="117"/>
        <v>0</v>
      </c>
    </row>
    <row r="325" spans="1:13" ht="15.75" customHeight="1" x14ac:dyDescent="0.25">
      <c r="A325" s="37" t="s">
        <v>235</v>
      </c>
      <c r="B325" s="30"/>
      <c r="C325" s="2" t="s">
        <v>176</v>
      </c>
      <c r="D325" s="3" t="s">
        <v>18</v>
      </c>
      <c r="E325" s="3" t="s">
        <v>28</v>
      </c>
      <c r="F325" s="4">
        <v>159.66999999999999</v>
      </c>
      <c r="G325" s="31"/>
      <c r="H325" s="8">
        <f t="shared" si="113"/>
        <v>1</v>
      </c>
      <c r="I325" s="9">
        <f t="shared" si="114"/>
        <v>159.66999999999999</v>
      </c>
      <c r="J325" s="34"/>
      <c r="K325" s="6">
        <f t="shared" si="115"/>
        <v>0</v>
      </c>
      <c r="L325" s="33">
        <f t="shared" si="116"/>
        <v>0</v>
      </c>
      <c r="M325" s="33">
        <f t="shared" si="117"/>
        <v>0</v>
      </c>
    </row>
    <row r="326" spans="1:13" ht="15.75" customHeight="1" x14ac:dyDescent="0.25">
      <c r="A326" s="37" t="s">
        <v>235</v>
      </c>
      <c r="B326" s="30"/>
      <c r="C326" s="2" t="s">
        <v>178</v>
      </c>
      <c r="D326" s="3" t="s">
        <v>18</v>
      </c>
      <c r="E326" s="3" t="s">
        <v>28</v>
      </c>
      <c r="F326" s="4">
        <v>286.26822372000004</v>
      </c>
      <c r="G326" s="31"/>
      <c r="H326" s="8">
        <f t="shared" si="113"/>
        <v>1</v>
      </c>
      <c r="I326" s="9">
        <f t="shared" si="114"/>
        <v>286.26822372000004</v>
      </c>
      <c r="J326" s="34"/>
      <c r="K326" s="6">
        <f t="shared" si="115"/>
        <v>0</v>
      </c>
      <c r="L326" s="33">
        <f t="shared" si="116"/>
        <v>0</v>
      </c>
      <c r="M326" s="33">
        <f t="shared" si="117"/>
        <v>0</v>
      </c>
    </row>
    <row r="327" spans="1:13" ht="15.75" customHeight="1" x14ac:dyDescent="0.25">
      <c r="A327" s="37" t="s">
        <v>235</v>
      </c>
      <c r="B327" s="30"/>
      <c r="C327" s="2" t="s">
        <v>182</v>
      </c>
      <c r="D327" s="3" t="s">
        <v>18</v>
      </c>
      <c r="E327" s="3" t="s">
        <v>28</v>
      </c>
      <c r="F327" s="4">
        <v>162.02000000000001</v>
      </c>
      <c r="G327" s="31"/>
      <c r="H327" s="8">
        <f t="shared" si="113"/>
        <v>1</v>
      </c>
      <c r="I327" s="9">
        <f t="shared" si="114"/>
        <v>162.02000000000001</v>
      </c>
      <c r="J327" s="34"/>
      <c r="K327" s="6">
        <f t="shared" si="115"/>
        <v>0</v>
      </c>
      <c r="L327" s="33">
        <f t="shared" si="116"/>
        <v>0</v>
      </c>
      <c r="M327" s="33">
        <f t="shared" si="117"/>
        <v>0</v>
      </c>
    </row>
    <row r="328" spans="1:13" ht="18.75" x14ac:dyDescent="0.3">
      <c r="A328" s="37" t="s">
        <v>233</v>
      </c>
      <c r="B328" s="25"/>
      <c r="C328" s="12" t="s">
        <v>186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26"/>
    </row>
    <row r="329" spans="1:13" ht="18.75" x14ac:dyDescent="0.3">
      <c r="A329" s="37" t="s">
        <v>234</v>
      </c>
      <c r="B329" s="22"/>
      <c r="C329" s="13" t="s">
        <v>167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23"/>
    </row>
    <row r="330" spans="1:13" ht="38.25" customHeight="1" x14ac:dyDescent="0.25">
      <c r="A330" s="37" t="s">
        <v>232</v>
      </c>
      <c r="B330" s="27" t="s">
        <v>35</v>
      </c>
      <c r="C330" s="28" t="s">
        <v>0</v>
      </c>
      <c r="D330" s="28" t="s">
        <v>1</v>
      </c>
      <c r="E330" s="28" t="s">
        <v>2</v>
      </c>
      <c r="F330" s="29" t="s">
        <v>40</v>
      </c>
      <c r="G330" s="16" t="s">
        <v>41</v>
      </c>
      <c r="H330" s="16" t="s">
        <v>36</v>
      </c>
      <c r="I330" s="18" t="s">
        <v>41</v>
      </c>
      <c r="J330" s="18" t="s">
        <v>36</v>
      </c>
      <c r="K330" s="14" t="s">
        <v>43</v>
      </c>
      <c r="L330" s="16" t="s">
        <v>42</v>
      </c>
      <c r="M330" s="18" t="s">
        <v>42</v>
      </c>
    </row>
    <row r="331" spans="1:13" ht="15.75" customHeight="1" x14ac:dyDescent="0.25">
      <c r="A331" s="37" t="s">
        <v>235</v>
      </c>
      <c r="B331" s="30"/>
      <c r="C331" s="2" t="s">
        <v>187</v>
      </c>
      <c r="D331" s="3" t="s">
        <v>3</v>
      </c>
      <c r="E331" s="3" t="s">
        <v>38</v>
      </c>
      <c r="F331" s="4">
        <v>298.86840000000007</v>
      </c>
      <c r="G331" s="31"/>
      <c r="H331" s="8">
        <f t="shared" ref="H331:H337" si="118">-(G331/F331)+1</f>
        <v>1</v>
      </c>
      <c r="I331" s="9">
        <f t="shared" ref="I331:I337" si="119">F331*(1-J331)</f>
        <v>298.86840000000007</v>
      </c>
      <c r="J331" s="34"/>
      <c r="K331" s="6">
        <f t="shared" ref="K331:K337" si="120">B331*F331</f>
        <v>0</v>
      </c>
      <c r="L331" s="33">
        <f t="shared" ref="L331:L337" si="121">B331*G331</f>
        <v>0</v>
      </c>
      <c r="M331" s="33">
        <f t="shared" ref="M331:M337" si="122">B331*I331</f>
        <v>0</v>
      </c>
    </row>
    <row r="332" spans="1:13" ht="15.75" customHeight="1" x14ac:dyDescent="0.25">
      <c r="A332" s="37" t="s">
        <v>235</v>
      </c>
      <c r="B332" s="30"/>
      <c r="C332" s="2" t="s">
        <v>187</v>
      </c>
      <c r="D332" s="3" t="s">
        <v>5</v>
      </c>
      <c r="E332" s="3" t="s">
        <v>188</v>
      </c>
      <c r="F332" s="4">
        <v>74.714400000000012</v>
      </c>
      <c r="G332" s="31"/>
      <c r="H332" s="8">
        <f t="shared" si="118"/>
        <v>1</v>
      </c>
      <c r="I332" s="9">
        <f t="shared" si="119"/>
        <v>74.714400000000012</v>
      </c>
      <c r="J332" s="34"/>
      <c r="K332" s="6">
        <f t="shared" si="120"/>
        <v>0</v>
      </c>
      <c r="L332" s="33">
        <f t="shared" si="121"/>
        <v>0</v>
      </c>
      <c r="M332" s="33">
        <f t="shared" si="122"/>
        <v>0</v>
      </c>
    </row>
    <row r="333" spans="1:13" ht="15.75" customHeight="1" x14ac:dyDescent="0.25">
      <c r="A333" s="37" t="s">
        <v>235</v>
      </c>
      <c r="B333" s="30"/>
      <c r="C333" s="2" t="s">
        <v>187</v>
      </c>
      <c r="D333" s="3" t="s">
        <v>18</v>
      </c>
      <c r="E333" s="3" t="s">
        <v>189</v>
      </c>
      <c r="F333" s="4">
        <v>21.351600000000001</v>
      </c>
      <c r="G333" s="31"/>
      <c r="H333" s="8">
        <f t="shared" si="118"/>
        <v>1</v>
      </c>
      <c r="I333" s="9">
        <f t="shared" si="119"/>
        <v>21.351600000000001</v>
      </c>
      <c r="J333" s="34"/>
      <c r="K333" s="6">
        <f t="shared" si="120"/>
        <v>0</v>
      </c>
      <c r="L333" s="33">
        <f t="shared" si="121"/>
        <v>0</v>
      </c>
      <c r="M333" s="33">
        <f t="shared" si="122"/>
        <v>0</v>
      </c>
    </row>
    <row r="334" spans="1:13" ht="15.75" customHeight="1" x14ac:dyDescent="0.25">
      <c r="A334" s="37" t="s">
        <v>235</v>
      </c>
      <c r="B334" s="30"/>
      <c r="C334" s="2" t="s">
        <v>190</v>
      </c>
      <c r="D334" s="3" t="s">
        <v>3</v>
      </c>
      <c r="E334" s="3" t="s">
        <v>38</v>
      </c>
      <c r="F334" s="4">
        <v>435.17520000000002</v>
      </c>
      <c r="G334" s="31"/>
      <c r="H334" s="8">
        <f t="shared" si="118"/>
        <v>1</v>
      </c>
      <c r="I334" s="9">
        <f t="shared" si="119"/>
        <v>435.17520000000002</v>
      </c>
      <c r="J334" s="34"/>
      <c r="K334" s="6">
        <f t="shared" si="120"/>
        <v>0</v>
      </c>
      <c r="L334" s="33">
        <f t="shared" si="121"/>
        <v>0</v>
      </c>
      <c r="M334" s="33">
        <f t="shared" si="122"/>
        <v>0</v>
      </c>
    </row>
    <row r="335" spans="1:13" ht="15.75" customHeight="1" x14ac:dyDescent="0.25">
      <c r="A335" s="37" t="s">
        <v>235</v>
      </c>
      <c r="B335" s="30"/>
      <c r="C335" s="2" t="s">
        <v>190</v>
      </c>
      <c r="D335" s="3" t="s">
        <v>5</v>
      </c>
      <c r="E335" s="3" t="s">
        <v>188</v>
      </c>
      <c r="F335" s="4">
        <v>108.7992</v>
      </c>
      <c r="G335" s="31"/>
      <c r="H335" s="8">
        <f t="shared" si="118"/>
        <v>1</v>
      </c>
      <c r="I335" s="9">
        <f t="shared" si="119"/>
        <v>108.7992</v>
      </c>
      <c r="J335" s="34"/>
      <c r="K335" s="6">
        <f t="shared" si="120"/>
        <v>0</v>
      </c>
      <c r="L335" s="33">
        <f t="shared" si="121"/>
        <v>0</v>
      </c>
      <c r="M335" s="33">
        <f t="shared" si="122"/>
        <v>0</v>
      </c>
    </row>
    <row r="336" spans="1:13" ht="15.75" customHeight="1" x14ac:dyDescent="0.25">
      <c r="A336" s="37" t="s">
        <v>235</v>
      </c>
      <c r="B336" s="30"/>
      <c r="C336" s="2" t="s">
        <v>190</v>
      </c>
      <c r="D336" s="3" t="s">
        <v>18</v>
      </c>
      <c r="E336" s="3" t="s">
        <v>189</v>
      </c>
      <c r="F336" s="4">
        <v>31.082400000000003</v>
      </c>
      <c r="G336" s="31"/>
      <c r="H336" s="8">
        <f t="shared" si="118"/>
        <v>1</v>
      </c>
      <c r="I336" s="9">
        <f t="shared" si="119"/>
        <v>31.082400000000003</v>
      </c>
      <c r="J336" s="34"/>
      <c r="K336" s="6">
        <f t="shared" si="120"/>
        <v>0</v>
      </c>
      <c r="L336" s="33">
        <f t="shared" si="121"/>
        <v>0</v>
      </c>
      <c r="M336" s="33">
        <f t="shared" si="122"/>
        <v>0</v>
      </c>
    </row>
    <row r="337" spans="1:13" ht="15.75" customHeight="1" x14ac:dyDescent="0.25">
      <c r="A337" s="37" t="s">
        <v>235</v>
      </c>
      <c r="B337" s="30"/>
      <c r="C337" s="2" t="s">
        <v>191</v>
      </c>
      <c r="D337" s="3" t="s">
        <v>5</v>
      </c>
      <c r="E337" s="3" t="s">
        <v>188</v>
      </c>
      <c r="F337" s="4">
        <v>210.13560000000001</v>
      </c>
      <c r="G337" s="31"/>
      <c r="H337" s="8">
        <f t="shared" si="118"/>
        <v>1</v>
      </c>
      <c r="I337" s="9">
        <f t="shared" si="119"/>
        <v>210.13560000000001</v>
      </c>
      <c r="J337" s="34"/>
      <c r="K337" s="6">
        <f t="shared" si="120"/>
        <v>0</v>
      </c>
      <c r="L337" s="33">
        <f t="shared" si="121"/>
        <v>0</v>
      </c>
      <c r="M337" s="33">
        <f t="shared" si="122"/>
        <v>0</v>
      </c>
    </row>
    <row r="338" spans="1:13" ht="18.75" x14ac:dyDescent="0.3">
      <c r="A338" s="37" t="s">
        <v>234</v>
      </c>
      <c r="B338" s="22"/>
      <c r="C338" s="13" t="s">
        <v>30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23"/>
    </row>
    <row r="339" spans="1:13" ht="38.25" customHeight="1" x14ac:dyDescent="0.25">
      <c r="A339" s="37" t="s">
        <v>232</v>
      </c>
      <c r="B339" s="27" t="s">
        <v>35</v>
      </c>
      <c r="C339" s="28" t="s">
        <v>0</v>
      </c>
      <c r="D339" s="28" t="s">
        <v>1</v>
      </c>
      <c r="E339" s="28" t="s">
        <v>2</v>
      </c>
      <c r="F339" s="29" t="s">
        <v>40</v>
      </c>
      <c r="G339" s="16" t="s">
        <v>41</v>
      </c>
      <c r="H339" s="16" t="s">
        <v>36</v>
      </c>
      <c r="I339" s="18" t="s">
        <v>41</v>
      </c>
      <c r="J339" s="18" t="s">
        <v>36</v>
      </c>
      <c r="K339" s="14" t="s">
        <v>43</v>
      </c>
      <c r="L339" s="16" t="s">
        <v>42</v>
      </c>
      <c r="M339" s="18" t="s">
        <v>42</v>
      </c>
    </row>
    <row r="340" spans="1:13" ht="15.75" customHeight="1" x14ac:dyDescent="0.25">
      <c r="A340" s="37" t="s">
        <v>235</v>
      </c>
      <c r="B340" s="30"/>
      <c r="C340" s="2" t="s">
        <v>210</v>
      </c>
      <c r="D340" s="3" t="s">
        <v>5</v>
      </c>
      <c r="E340" s="3" t="s">
        <v>6</v>
      </c>
      <c r="F340" s="4">
        <v>243.00000000000003</v>
      </c>
      <c r="G340" s="31"/>
      <c r="H340" s="8">
        <f t="shared" ref="H340:H347" si="123">-(G340/F340)+1</f>
        <v>1</v>
      </c>
      <c r="I340" s="9">
        <f t="shared" ref="I340:I347" si="124">F340*(1-J340)</f>
        <v>243.00000000000003</v>
      </c>
      <c r="J340" s="34"/>
      <c r="K340" s="6">
        <f t="shared" ref="K340:K347" si="125">B340*F340</f>
        <v>0</v>
      </c>
      <c r="L340" s="33">
        <f t="shared" ref="L340:L347" si="126">B340*G340</f>
        <v>0</v>
      </c>
      <c r="M340" s="33">
        <f t="shared" ref="M340:M347" si="127">B340*I340</f>
        <v>0</v>
      </c>
    </row>
    <row r="341" spans="1:13" ht="15.75" customHeight="1" x14ac:dyDescent="0.25">
      <c r="A341" s="37" t="s">
        <v>235</v>
      </c>
      <c r="B341" s="30"/>
      <c r="C341" s="2" t="s">
        <v>211</v>
      </c>
      <c r="D341" s="3" t="s">
        <v>5</v>
      </c>
      <c r="E341" s="3" t="s">
        <v>6</v>
      </c>
      <c r="F341" s="4">
        <v>189</v>
      </c>
      <c r="G341" s="31"/>
      <c r="H341" s="8">
        <f t="shared" si="123"/>
        <v>1</v>
      </c>
      <c r="I341" s="9">
        <f t="shared" si="124"/>
        <v>189</v>
      </c>
      <c r="J341" s="34"/>
      <c r="K341" s="6">
        <f t="shared" si="125"/>
        <v>0</v>
      </c>
      <c r="L341" s="33">
        <f t="shared" si="126"/>
        <v>0</v>
      </c>
      <c r="M341" s="33">
        <f t="shared" si="127"/>
        <v>0</v>
      </c>
    </row>
    <row r="342" spans="1:13" ht="15.75" customHeight="1" x14ac:dyDescent="0.25">
      <c r="A342" s="37" t="s">
        <v>235</v>
      </c>
      <c r="B342" s="30"/>
      <c r="C342" s="2" t="s">
        <v>212</v>
      </c>
      <c r="D342" s="3" t="s">
        <v>5</v>
      </c>
      <c r="E342" s="3" t="s">
        <v>6</v>
      </c>
      <c r="F342" s="4">
        <v>119.88000000000001</v>
      </c>
      <c r="G342" s="31"/>
      <c r="H342" s="8">
        <f t="shared" si="123"/>
        <v>1</v>
      </c>
      <c r="I342" s="9">
        <f t="shared" si="124"/>
        <v>119.88000000000001</v>
      </c>
      <c r="J342" s="34"/>
      <c r="K342" s="6">
        <f t="shared" si="125"/>
        <v>0</v>
      </c>
      <c r="L342" s="33">
        <f t="shared" si="126"/>
        <v>0</v>
      </c>
      <c r="M342" s="33">
        <f t="shared" si="127"/>
        <v>0</v>
      </c>
    </row>
    <row r="343" spans="1:13" ht="15.75" customHeight="1" x14ac:dyDescent="0.25">
      <c r="A343" s="37" t="s">
        <v>235</v>
      </c>
      <c r="B343" s="30"/>
      <c r="C343" s="2" t="s">
        <v>213</v>
      </c>
      <c r="D343" s="3" t="s">
        <v>5</v>
      </c>
      <c r="E343" s="3" t="s">
        <v>6</v>
      </c>
      <c r="F343" s="4">
        <v>133.92000000000002</v>
      </c>
      <c r="G343" s="31"/>
      <c r="H343" s="8">
        <f t="shared" si="123"/>
        <v>1</v>
      </c>
      <c r="I343" s="9">
        <f t="shared" si="124"/>
        <v>133.92000000000002</v>
      </c>
      <c r="J343" s="34"/>
      <c r="K343" s="6">
        <f t="shared" si="125"/>
        <v>0</v>
      </c>
      <c r="L343" s="33">
        <f t="shared" si="126"/>
        <v>0</v>
      </c>
      <c r="M343" s="33">
        <f t="shared" si="127"/>
        <v>0</v>
      </c>
    </row>
    <row r="344" spans="1:13" ht="15.75" customHeight="1" x14ac:dyDescent="0.25">
      <c r="A344" s="37" t="s">
        <v>235</v>
      </c>
      <c r="B344" s="30"/>
      <c r="C344" s="2" t="s">
        <v>214</v>
      </c>
      <c r="D344" s="3" t="s">
        <v>5</v>
      </c>
      <c r="E344" s="3" t="s">
        <v>6</v>
      </c>
      <c r="F344" s="4">
        <v>164.16000000000003</v>
      </c>
      <c r="G344" s="31"/>
      <c r="H344" s="8">
        <f t="shared" si="123"/>
        <v>1</v>
      </c>
      <c r="I344" s="9">
        <f t="shared" si="124"/>
        <v>164.16000000000003</v>
      </c>
      <c r="J344" s="34"/>
      <c r="K344" s="6">
        <f t="shared" si="125"/>
        <v>0</v>
      </c>
      <c r="L344" s="33">
        <f t="shared" si="126"/>
        <v>0</v>
      </c>
      <c r="M344" s="33">
        <f t="shared" si="127"/>
        <v>0</v>
      </c>
    </row>
    <row r="345" spans="1:13" ht="15.75" customHeight="1" x14ac:dyDescent="0.25">
      <c r="A345" s="37" t="s">
        <v>235</v>
      </c>
      <c r="B345" s="30"/>
      <c r="C345" s="2" t="s">
        <v>215</v>
      </c>
      <c r="D345" s="3" t="s">
        <v>5</v>
      </c>
      <c r="E345" s="3" t="s">
        <v>6</v>
      </c>
      <c r="F345" s="4">
        <v>99.360000000000014</v>
      </c>
      <c r="G345" s="31"/>
      <c r="H345" s="8">
        <f t="shared" si="123"/>
        <v>1</v>
      </c>
      <c r="I345" s="9">
        <f t="shared" si="124"/>
        <v>99.360000000000014</v>
      </c>
      <c r="J345" s="34"/>
      <c r="K345" s="6">
        <f t="shared" si="125"/>
        <v>0</v>
      </c>
      <c r="L345" s="33">
        <f t="shared" si="126"/>
        <v>0</v>
      </c>
      <c r="M345" s="33">
        <f t="shared" si="127"/>
        <v>0</v>
      </c>
    </row>
    <row r="346" spans="1:13" ht="15.75" customHeight="1" x14ac:dyDescent="0.25">
      <c r="A346" s="37" t="s">
        <v>235</v>
      </c>
      <c r="B346" s="30"/>
      <c r="C346" s="2" t="s">
        <v>216</v>
      </c>
      <c r="D346" s="3" t="s">
        <v>5</v>
      </c>
      <c r="E346" s="3" t="s">
        <v>6</v>
      </c>
      <c r="F346" s="4">
        <v>167.4</v>
      </c>
      <c r="G346" s="31"/>
      <c r="H346" s="8">
        <f t="shared" si="123"/>
        <v>1</v>
      </c>
      <c r="I346" s="9">
        <f t="shared" si="124"/>
        <v>167.4</v>
      </c>
      <c r="J346" s="34"/>
      <c r="K346" s="6">
        <f t="shared" si="125"/>
        <v>0</v>
      </c>
      <c r="L346" s="33">
        <f t="shared" si="126"/>
        <v>0</v>
      </c>
      <c r="M346" s="33">
        <f t="shared" si="127"/>
        <v>0</v>
      </c>
    </row>
    <row r="347" spans="1:13" ht="15.75" customHeight="1" x14ac:dyDescent="0.25">
      <c r="A347" s="37" t="s">
        <v>235</v>
      </c>
      <c r="B347" s="30"/>
      <c r="C347" s="2" t="s">
        <v>217</v>
      </c>
      <c r="D347" s="3" t="s">
        <v>5</v>
      </c>
      <c r="E347" s="3" t="s">
        <v>6</v>
      </c>
      <c r="F347" s="4">
        <v>106.92</v>
      </c>
      <c r="G347" s="31"/>
      <c r="H347" s="8">
        <f t="shared" si="123"/>
        <v>1</v>
      </c>
      <c r="I347" s="9">
        <f t="shared" si="124"/>
        <v>106.92</v>
      </c>
      <c r="J347" s="34"/>
      <c r="K347" s="6">
        <f t="shared" si="125"/>
        <v>0</v>
      </c>
      <c r="L347" s="33">
        <f t="shared" si="126"/>
        <v>0</v>
      </c>
      <c r="M347" s="33">
        <f t="shared" si="127"/>
        <v>0</v>
      </c>
    </row>
    <row r="348" spans="1:13" ht="18.75" x14ac:dyDescent="0.3">
      <c r="A348" s="37" t="s">
        <v>234</v>
      </c>
      <c r="B348" s="22"/>
      <c r="C348" s="13" t="s">
        <v>31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23"/>
    </row>
    <row r="349" spans="1:13" ht="38.25" customHeight="1" x14ac:dyDescent="0.25">
      <c r="A349" s="37" t="s">
        <v>232</v>
      </c>
      <c r="B349" s="27" t="s">
        <v>35</v>
      </c>
      <c r="C349" s="28" t="s">
        <v>0</v>
      </c>
      <c r="D349" s="28" t="s">
        <v>1</v>
      </c>
      <c r="E349" s="28" t="s">
        <v>2</v>
      </c>
      <c r="F349" s="29" t="s">
        <v>40</v>
      </c>
      <c r="G349" s="16" t="s">
        <v>41</v>
      </c>
      <c r="H349" s="16" t="s">
        <v>36</v>
      </c>
      <c r="I349" s="18" t="s">
        <v>41</v>
      </c>
      <c r="J349" s="18" t="s">
        <v>36</v>
      </c>
      <c r="K349" s="14" t="s">
        <v>43</v>
      </c>
      <c r="L349" s="16" t="s">
        <v>42</v>
      </c>
      <c r="M349" s="18" t="s">
        <v>42</v>
      </c>
    </row>
    <row r="350" spans="1:13" ht="15.75" customHeight="1" x14ac:dyDescent="0.25">
      <c r="A350" s="37" t="s">
        <v>235</v>
      </c>
      <c r="B350" s="30"/>
      <c r="C350" s="2" t="s">
        <v>193</v>
      </c>
      <c r="D350" s="3" t="s">
        <v>32</v>
      </c>
      <c r="E350" s="3" t="s">
        <v>192</v>
      </c>
      <c r="F350" s="4">
        <v>49.565600000000003</v>
      </c>
      <c r="G350" s="31"/>
      <c r="H350" s="8">
        <f t="shared" ref="H350:H358" si="128">-(G350/F350)+1</f>
        <v>1</v>
      </c>
      <c r="I350" s="9">
        <f t="shared" ref="I350:I358" si="129">F350*(1-J350)</f>
        <v>49.565600000000003</v>
      </c>
      <c r="J350" s="34"/>
      <c r="K350" s="6">
        <f t="shared" ref="K350:K358" si="130">B350*F350</f>
        <v>0</v>
      </c>
      <c r="L350" s="33">
        <f t="shared" ref="L350:L358" si="131">B350*G350</f>
        <v>0</v>
      </c>
      <c r="M350" s="33">
        <f t="shared" ref="M350:M358" si="132">B350*I350</f>
        <v>0</v>
      </c>
    </row>
    <row r="351" spans="1:13" ht="15.75" customHeight="1" x14ac:dyDescent="0.25">
      <c r="A351" s="37" t="s">
        <v>235</v>
      </c>
      <c r="B351" s="30"/>
      <c r="C351" s="2" t="s">
        <v>194</v>
      </c>
      <c r="D351" s="3" t="s">
        <v>32</v>
      </c>
      <c r="E351" s="3" t="s">
        <v>192</v>
      </c>
      <c r="F351" s="4">
        <v>49.565600000000003</v>
      </c>
      <c r="G351" s="31"/>
      <c r="H351" s="8">
        <f t="shared" si="128"/>
        <v>1</v>
      </c>
      <c r="I351" s="9">
        <f t="shared" si="129"/>
        <v>49.565600000000003</v>
      </c>
      <c r="J351" s="34"/>
      <c r="K351" s="6">
        <f t="shared" si="130"/>
        <v>0</v>
      </c>
      <c r="L351" s="33">
        <f t="shared" si="131"/>
        <v>0</v>
      </c>
      <c r="M351" s="33">
        <f t="shared" si="132"/>
        <v>0</v>
      </c>
    </row>
    <row r="352" spans="1:13" ht="15.75" customHeight="1" x14ac:dyDescent="0.25">
      <c r="A352" s="37" t="s">
        <v>235</v>
      </c>
      <c r="B352" s="30"/>
      <c r="C352" s="2" t="s">
        <v>195</v>
      </c>
      <c r="D352" s="3" t="s">
        <v>32</v>
      </c>
      <c r="E352" s="3" t="s">
        <v>192</v>
      </c>
      <c r="F352" s="4">
        <v>49.565600000000003</v>
      </c>
      <c r="G352" s="31"/>
      <c r="H352" s="8">
        <f t="shared" si="128"/>
        <v>1</v>
      </c>
      <c r="I352" s="9">
        <f t="shared" si="129"/>
        <v>49.565600000000003</v>
      </c>
      <c r="J352" s="34"/>
      <c r="K352" s="6">
        <f t="shared" si="130"/>
        <v>0</v>
      </c>
      <c r="L352" s="33">
        <f t="shared" si="131"/>
        <v>0</v>
      </c>
      <c r="M352" s="33">
        <f t="shared" si="132"/>
        <v>0</v>
      </c>
    </row>
    <row r="353" spans="1:13" ht="15.75" customHeight="1" x14ac:dyDescent="0.25">
      <c r="A353" s="37" t="s">
        <v>235</v>
      </c>
      <c r="B353" s="30"/>
      <c r="C353" s="2" t="s">
        <v>196</v>
      </c>
      <c r="D353" s="3" t="s">
        <v>32</v>
      </c>
      <c r="E353" s="3" t="s">
        <v>192</v>
      </c>
      <c r="F353" s="4">
        <v>49.565600000000003</v>
      </c>
      <c r="G353" s="31"/>
      <c r="H353" s="8">
        <f t="shared" si="128"/>
        <v>1</v>
      </c>
      <c r="I353" s="9">
        <f t="shared" si="129"/>
        <v>49.565600000000003</v>
      </c>
      <c r="J353" s="34"/>
      <c r="K353" s="6">
        <f t="shared" si="130"/>
        <v>0</v>
      </c>
      <c r="L353" s="33">
        <f t="shared" si="131"/>
        <v>0</v>
      </c>
      <c r="M353" s="33">
        <f t="shared" si="132"/>
        <v>0</v>
      </c>
    </row>
    <row r="354" spans="1:13" ht="15.75" customHeight="1" x14ac:dyDescent="0.25">
      <c r="A354" s="37" t="s">
        <v>235</v>
      </c>
      <c r="B354" s="30"/>
      <c r="C354" s="2" t="s">
        <v>197</v>
      </c>
      <c r="D354" s="3" t="s">
        <v>32</v>
      </c>
      <c r="E354" s="3" t="s">
        <v>192</v>
      </c>
      <c r="F354" s="4">
        <v>49.565600000000003</v>
      </c>
      <c r="G354" s="31"/>
      <c r="H354" s="8">
        <f t="shared" si="128"/>
        <v>1</v>
      </c>
      <c r="I354" s="9">
        <f t="shared" si="129"/>
        <v>49.565600000000003</v>
      </c>
      <c r="J354" s="34"/>
      <c r="K354" s="6">
        <f t="shared" si="130"/>
        <v>0</v>
      </c>
      <c r="L354" s="33">
        <f t="shared" si="131"/>
        <v>0</v>
      </c>
      <c r="M354" s="33">
        <f t="shared" si="132"/>
        <v>0</v>
      </c>
    </row>
    <row r="355" spans="1:13" ht="15.75" customHeight="1" x14ac:dyDescent="0.25">
      <c r="A355" s="37" t="s">
        <v>235</v>
      </c>
      <c r="B355" s="30"/>
      <c r="C355" s="2" t="s">
        <v>198</v>
      </c>
      <c r="D355" s="3" t="s">
        <v>32</v>
      </c>
      <c r="E355" s="3" t="s">
        <v>192</v>
      </c>
      <c r="F355" s="4">
        <v>49.565600000000003</v>
      </c>
      <c r="G355" s="31"/>
      <c r="H355" s="8">
        <f t="shared" si="128"/>
        <v>1</v>
      </c>
      <c r="I355" s="9">
        <f t="shared" si="129"/>
        <v>49.565600000000003</v>
      </c>
      <c r="J355" s="34"/>
      <c r="K355" s="6">
        <f t="shared" si="130"/>
        <v>0</v>
      </c>
      <c r="L355" s="33">
        <f t="shared" si="131"/>
        <v>0</v>
      </c>
      <c r="M355" s="33">
        <f t="shared" si="132"/>
        <v>0</v>
      </c>
    </row>
    <row r="356" spans="1:13" ht="15.75" customHeight="1" x14ac:dyDescent="0.25">
      <c r="A356" s="37" t="s">
        <v>235</v>
      </c>
      <c r="B356" s="30"/>
      <c r="C356" s="2" t="s">
        <v>199</v>
      </c>
      <c r="D356" s="3" t="s">
        <v>32</v>
      </c>
      <c r="E356" s="3" t="s">
        <v>192</v>
      </c>
      <c r="F356" s="4">
        <v>49.565600000000003</v>
      </c>
      <c r="G356" s="31"/>
      <c r="H356" s="8">
        <f t="shared" si="128"/>
        <v>1</v>
      </c>
      <c r="I356" s="9">
        <f t="shared" si="129"/>
        <v>49.565600000000003</v>
      </c>
      <c r="J356" s="34"/>
      <c r="K356" s="6">
        <f t="shared" si="130"/>
        <v>0</v>
      </c>
      <c r="L356" s="33">
        <f t="shared" si="131"/>
        <v>0</v>
      </c>
      <c r="M356" s="33">
        <f t="shared" si="132"/>
        <v>0</v>
      </c>
    </row>
    <row r="357" spans="1:13" ht="15.75" customHeight="1" x14ac:dyDescent="0.25">
      <c r="A357" s="37" t="s">
        <v>235</v>
      </c>
      <c r="B357" s="30"/>
      <c r="C357" s="2" t="s">
        <v>200</v>
      </c>
      <c r="D357" s="3" t="s">
        <v>32</v>
      </c>
      <c r="E357" s="3" t="s">
        <v>192</v>
      </c>
      <c r="F357" s="4">
        <v>49.565600000000003</v>
      </c>
      <c r="G357" s="31"/>
      <c r="H357" s="8">
        <f t="shared" si="128"/>
        <v>1</v>
      </c>
      <c r="I357" s="9">
        <f t="shared" si="129"/>
        <v>49.565600000000003</v>
      </c>
      <c r="J357" s="34"/>
      <c r="K357" s="6">
        <f t="shared" si="130"/>
        <v>0</v>
      </c>
      <c r="L357" s="33">
        <f t="shared" si="131"/>
        <v>0</v>
      </c>
      <c r="M357" s="33">
        <f t="shared" si="132"/>
        <v>0</v>
      </c>
    </row>
    <row r="358" spans="1:13" ht="15.75" customHeight="1" x14ac:dyDescent="0.25">
      <c r="A358" s="37" t="s">
        <v>235</v>
      </c>
      <c r="B358" s="30"/>
      <c r="C358" s="2" t="s">
        <v>201</v>
      </c>
      <c r="D358" s="3" t="s">
        <v>32</v>
      </c>
      <c r="E358" s="3" t="s">
        <v>192</v>
      </c>
      <c r="F358" s="4">
        <v>49.565600000000003</v>
      </c>
      <c r="G358" s="31"/>
      <c r="H358" s="8">
        <f t="shared" si="128"/>
        <v>1</v>
      </c>
      <c r="I358" s="9">
        <f t="shared" si="129"/>
        <v>49.565600000000003</v>
      </c>
      <c r="J358" s="34"/>
      <c r="K358" s="6">
        <f t="shared" si="130"/>
        <v>0</v>
      </c>
      <c r="L358" s="33">
        <f t="shared" si="131"/>
        <v>0</v>
      </c>
      <c r="M358" s="33">
        <f t="shared" si="132"/>
        <v>0</v>
      </c>
    </row>
    <row r="359" spans="1:13" ht="18.75" x14ac:dyDescent="0.3">
      <c r="A359" s="37" t="s">
        <v>234</v>
      </c>
      <c r="B359" s="22"/>
      <c r="C359" s="13" t="s">
        <v>202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23"/>
    </row>
    <row r="360" spans="1:13" ht="37.5" x14ac:dyDescent="0.25">
      <c r="A360" s="37" t="s">
        <v>232</v>
      </c>
      <c r="B360" s="27" t="s">
        <v>35</v>
      </c>
      <c r="C360" s="28" t="s">
        <v>0</v>
      </c>
      <c r="D360" s="28" t="s">
        <v>1</v>
      </c>
      <c r="E360" s="28" t="s">
        <v>2</v>
      </c>
      <c r="F360" s="29" t="s">
        <v>40</v>
      </c>
      <c r="G360" s="16" t="s">
        <v>41</v>
      </c>
      <c r="H360" s="16" t="s">
        <v>36</v>
      </c>
      <c r="I360" s="18" t="s">
        <v>41</v>
      </c>
      <c r="J360" s="18" t="s">
        <v>36</v>
      </c>
      <c r="K360" s="14" t="s">
        <v>43</v>
      </c>
      <c r="L360" s="16" t="s">
        <v>42</v>
      </c>
      <c r="M360" s="18" t="s">
        <v>42</v>
      </c>
    </row>
    <row r="361" spans="1:13" x14ac:dyDescent="0.25">
      <c r="A361" s="37" t="s">
        <v>235</v>
      </c>
      <c r="B361" s="30"/>
      <c r="C361" s="2" t="s">
        <v>203</v>
      </c>
      <c r="D361" s="3" t="s">
        <v>32</v>
      </c>
      <c r="E361" s="3" t="s">
        <v>204</v>
      </c>
      <c r="F361" s="4">
        <v>195.3828</v>
      </c>
      <c r="G361" s="31"/>
      <c r="H361" s="8">
        <f t="shared" ref="H361:H363" si="133">-(G361/F361)+1</f>
        <v>1</v>
      </c>
      <c r="I361" s="9">
        <f t="shared" ref="I361:I363" si="134">F361*(1-J361)</f>
        <v>195.3828</v>
      </c>
      <c r="J361" s="34"/>
      <c r="K361" s="6">
        <f t="shared" ref="K361:K363" si="135">B361*F361</f>
        <v>0</v>
      </c>
      <c r="L361" s="33">
        <f>B361*G361</f>
        <v>0</v>
      </c>
      <c r="M361" s="33">
        <f>B361*I361</f>
        <v>0</v>
      </c>
    </row>
    <row r="362" spans="1:13" x14ac:dyDescent="0.25">
      <c r="A362" s="37" t="s">
        <v>235</v>
      </c>
      <c r="B362" s="30"/>
      <c r="C362" s="2" t="s">
        <v>207</v>
      </c>
      <c r="D362" s="3" t="s">
        <v>32</v>
      </c>
      <c r="E362" s="3" t="s">
        <v>205</v>
      </c>
      <c r="F362" s="4">
        <v>156.91319999999999</v>
      </c>
      <c r="G362" s="31"/>
      <c r="H362" s="8">
        <f t="shared" si="133"/>
        <v>1</v>
      </c>
      <c r="I362" s="9">
        <f t="shared" si="134"/>
        <v>156.91319999999999</v>
      </c>
      <c r="J362" s="34"/>
      <c r="K362" s="6">
        <f t="shared" si="135"/>
        <v>0</v>
      </c>
      <c r="L362" s="33">
        <f>B362*G362</f>
        <v>0</v>
      </c>
      <c r="M362" s="33">
        <f>B362*I362</f>
        <v>0</v>
      </c>
    </row>
    <row r="363" spans="1:13" x14ac:dyDescent="0.25">
      <c r="A363" s="37" t="s">
        <v>235</v>
      </c>
      <c r="B363" s="30"/>
      <c r="C363" s="2" t="s">
        <v>208</v>
      </c>
      <c r="D363" s="3" t="s">
        <v>32</v>
      </c>
      <c r="E363" s="3" t="s">
        <v>206</v>
      </c>
      <c r="F363" s="4">
        <v>112.3092</v>
      </c>
      <c r="G363" s="31"/>
      <c r="H363" s="8">
        <f t="shared" si="133"/>
        <v>1</v>
      </c>
      <c r="I363" s="9">
        <f t="shared" si="134"/>
        <v>112.3092</v>
      </c>
      <c r="J363" s="34"/>
      <c r="K363" s="6">
        <f t="shared" si="135"/>
        <v>0</v>
      </c>
      <c r="L363" s="33">
        <f>B363*G363</f>
        <v>0</v>
      </c>
      <c r="M363" s="33">
        <f>B363*I363</f>
        <v>0</v>
      </c>
    </row>
  </sheetData>
  <autoFilter ref="B7:M363" xr:uid="{58AB4724-E181-487D-97BA-5D0F914BFEA1}"/>
  <pageMargins left="0.51181102362204722" right="0.51181102362204722" top="0.78740157480314965" bottom="0.78740157480314965" header="0.31496062992125984" footer="0.31496062992125984"/>
  <pageSetup paperSize="9" scale="43" fitToHeight="10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ABRIL (2)</vt:lpstr>
      <vt:lpstr>'ABRIL (2)'!Area_de_impressao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Lauro Piala Filho</dc:creator>
  <cp:lastModifiedBy>Márcio dos Santos</cp:lastModifiedBy>
  <cp:lastPrinted>2026-07-20T22:35:28Z</cp:lastPrinted>
  <dcterms:created xsi:type="dcterms:W3CDTF">2024-12-10T11:50:57Z</dcterms:created>
  <dcterms:modified xsi:type="dcterms:W3CDTF">2026-09-22T23:50:40Z</dcterms:modified>
</cp:coreProperties>
</file>